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Pesimista" sheetId="1" r:id="rId4"/>
    <sheet state="visible" name="Flujo medianamente Optimista" sheetId="2" r:id="rId5"/>
    <sheet state="visible" name="Flujo Muy Optimista" sheetId="3" r:id="rId6"/>
    <sheet state="visible" name="Hoja1" sheetId="4" r:id="rId7"/>
  </sheets>
  <definedNames/>
  <calcPr/>
  <extLst>
    <ext uri="GoogleSheetsCustomDataVersion2">
      <go:sheetsCustomData xmlns:go="http://customooxmlschemas.google.com/" r:id="rId8" roundtripDataChecksum="GPQpOu4DZj7DlW8najHD5TVAm9hbvoQY7nykHOfvhq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======
ID#AAACFmJ2e58
Unknown Author    (2026-09-13 16:11:41)
Costo directo real informado: hosting anual $43.200 CLP + gastos operativos de luz ($188.026), agua ($69.810) e internet ($119.319) durante los 4 meses del proyecto (jun-sep 2026) = $420.355 CLP total. Sin datos para Año 2 y 3.</t>
      </text>
    </comment>
    <comment authorId="0" ref="C17">
      <text>
        <t xml:space="preserve">======
ID#AAACFmJ2e6Y
Unknown Author    (2026-09-13 16:11:41)
No hubo sueldos pagados: es un proyecto de título. El informe solo entrega un costo de oportunidad referencial de $3.840.000 CLP (480 horas-persona x $8.000 CLP/hora), no un desembolso real.</t>
      </text>
    </comment>
    <comment authorId="0" ref="J7">
      <text>
        <t xml:space="preserve">======
ID#AAACFmJ2e6U
Unknown Author    (2026-09-13 16:11:41)
Este 0,5 (50%) es el supuesto de margen objetivo que trae la plantilla para calcular un 'Precio Venta' sugerido; el informe no reporta una rentabilidad objetivo. El precio de venta REAL del proyecto fue $450.000 CLP con un margen real de $29.645 CLP (~6,6%) sobre $420.355 CLP de costo directo, distinto del valor que arroja esta fórmula.</t>
      </text>
    </comment>
    <comment authorId="0" ref="C16">
      <text>
        <t xml:space="preserve">======
ID#AAACFmJ2e6I
Unknown Author    (2026-09-13 16:11:41)
El informe no menciona arriendo: el equipo trabajó de forma remota.</t>
      </text>
    </comment>
    <comment authorId="0" ref="L21">
      <text>
        <t xml:space="preserve">======
ID#AAACFmJ2e6c
Unknown Author    (2026-09-13 16:11:41)
El informe no identifica partidas de inversión con costo asociado. Se elimina el nombre de ejemplo de la plantilla.</t>
      </text>
    </comment>
    <comment authorId="0" ref="T7">
      <text>
        <t xml:space="preserve">======
ID#AAACFmJ2e6A
Unknown Author    (2026-09-13 16:11:41)
Tarifa de referencia de mercado junior usada en el informe para valorar las horas del equipo: $8.000 CLP/hora. El informe no desglosa un sueldo mensual por integrante, por eso 'Sueldo Mensual' queda en 0.</t>
      </text>
    </comment>
    <comment authorId="0" ref="Q18">
      <text>
        <t xml:space="preserve">======
ID#AAACFmJ2e6Q
Unknown Author    (2026-09-13 16:11:41)
El informe no define un equipo ni costo de mantención (solo menciona que 'se podría evaluar contratar mantención evolutiva por horas' a futuro, sin cifra). Se elimina el nombre de ejemplo de la plantilla.</t>
      </text>
    </comment>
    <comment authorId="0" ref="C20">
      <text>
        <t xml:space="preserve">======
ID#AAACFmJ2e6M
Unknown Author    (2026-09-13 16:11:41)
El informe indica gastos operativos menores (traslados a reuniones con el mandante e impresión de actas) 'estimados en menos de $20.000 CLP en total'. Se usa $20.000 como techo declarado por el informe.</t>
      </text>
    </comment>
  </commentList>
  <extLst>
    <ext uri="GoogleSheetsCustomDataVersion2">
      <go:sheetsCustomData xmlns:go="http://customooxmlschemas.google.com/" r:id="rId1" roundtripDataSignature="AMtx7mjcFiWj4VfCNJ32ZJG5WgWsRwRnT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2">
      <text>
        <t xml:space="preserve">======
ID#AAACFmJ2e6E
Unknown Author    (2026-09-13 16:11:41)
Venta real del proyecto según el informe: $450.000 CLP, pagado por Transporte OGV (Fase 1 - Definición del Proyecto, sección de Recursos/Costos).</t>
      </text>
    </comment>
  </commentList>
  <extLst>
    <ext uri="GoogleSheetsCustomDataVersion2">
      <go:sheetsCustomData xmlns:go="http://customooxmlschemas.google.com/" r:id="rId1" roundtripDataSignature="AMtx7mjnQMP5dwU5nKcJMUuH9blIIhdlgA=="/>
    </ext>
  </extLst>
</comments>
</file>

<file path=xl/sharedStrings.xml><?xml version="1.0" encoding="utf-8"?>
<sst xmlns="http://schemas.openxmlformats.org/spreadsheetml/2006/main" count="320" uniqueCount="111">
  <si>
    <t>FORMULARIO FLUJO DE CAJA</t>
  </si>
  <si>
    <t>Todos los proyectos</t>
  </si>
  <si>
    <t>INGRESOS</t>
  </si>
  <si>
    <t>FLUJOS DE CAJA</t>
  </si>
  <si>
    <t>Mes 1</t>
  </si>
  <si>
    <t>Mes 2</t>
  </si>
  <si>
    <t>Mes 3</t>
  </si>
  <si>
    <t>FICHA PROYECTO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</si>
  <si>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</si>
  <si>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</si>
  <si>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</si>
  <si>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</si>
  <si>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</si>
  <si>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</si>
  <si>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</si>
  <si>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</si>
  <si>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</si>
  <si>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DASHBOARD ECONOMICO</t>
  </si>
  <si>
    <t>SaaS</t>
  </si>
  <si>
    <t>Sueldos Equipo Desarrollo</t>
  </si>
  <si>
    <t>Pago por uso</t>
  </si>
  <si>
    <t>Mensual</t>
  </si>
  <si>
    <t>Costo Proyecto</t>
  </si>
  <si>
    <t>Inversión</t>
  </si>
  <si>
    <t>Proyecto</t>
  </si>
  <si>
    <t>Cliente</t>
  </si>
  <si>
    <t>Equipo</t>
  </si>
  <si>
    <t>Cargo</t>
  </si>
  <si>
    <t>Sueldo Mensual</t>
  </si>
  <si>
    <t>Valor Hora</t>
  </si>
  <si>
    <t>/H</t>
  </si>
  <si>
    <t>Cuota Cliente</t>
  </si>
  <si>
    <t>Rentabilidad</t>
  </si>
  <si>
    <t>Licencia</t>
  </si>
  <si>
    <t>Flujo Periodo 1</t>
  </si>
  <si>
    <t>Flujo Periodo 0</t>
  </si>
  <si>
    <t>Por Proyecto</t>
  </si>
  <si>
    <t>Raul Ibarra</t>
  </si>
  <si>
    <t>Product Owner</t>
  </si>
  <si>
    <t>Saldo Periodo Anterior</t>
  </si>
  <si>
    <t>Precio Venta</t>
  </si>
  <si>
    <t>Flujo Periodo 2</t>
  </si>
  <si>
    <t>Javier Perez</t>
  </si>
  <si>
    <t>Scrum Master</t>
  </si>
  <si>
    <t>Préstamos</t>
  </si>
  <si>
    <t>Flujo Periodo 3</t>
  </si>
  <si>
    <t>José González</t>
  </si>
  <si>
    <t>Desarrollador</t>
  </si>
  <si>
    <t>inversion</t>
  </si>
  <si>
    <t>Flujo Periodo 4</t>
  </si>
  <si>
    <t>Emanuel Meza</t>
  </si>
  <si>
    <t xml:space="preserve">Capital Inicial </t>
  </si>
  <si>
    <t>Ingresos Anuales</t>
  </si>
  <si>
    <t>Total sueldos / mes</t>
  </si>
  <si>
    <t>Saldos Mensuales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</si>
  <si>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</si>
  <si>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</si>
  <si>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</si>
  <si>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</si>
  <si>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</si>
  <si>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</si>
  <si>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</si>
  <si>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</si>
  <si>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4 MESES</t>
  </si>
  <si>
    <t>Arriendos</t>
  </si>
  <si>
    <t>Valor Cuota</t>
  </si>
  <si>
    <t>TIR</t>
  </si>
  <si>
    <t>Sueldos Equipo Mantencion</t>
  </si>
  <si>
    <t>Sueldos</t>
  </si>
  <si>
    <t>Costo Crédito</t>
  </si>
  <si>
    <t>Servicios</t>
  </si>
  <si>
    <t>Mantencion</t>
  </si>
  <si>
    <t>Cuota prestamo</t>
  </si>
  <si>
    <t>INVERSION</t>
  </si>
  <si>
    <t>Otros</t>
  </si>
  <si>
    <t>EGRESOS</t>
  </si>
  <si>
    <t>Nombre</t>
  </si>
  <si>
    <t>Costo</t>
  </si>
  <si>
    <t>Total sueldo / año</t>
  </si>
  <si>
    <t>Total Egresos</t>
  </si>
  <si>
    <t>SALDO</t>
  </si>
  <si>
    <t>Flujo</t>
  </si>
  <si>
    <t>Registro del dominio</t>
  </si>
  <si>
    <t>Incluido en hosting/servicio</t>
  </si>
  <si>
    <t>Hosting compartido con cPanel</t>
  </si>
  <si>
    <t>Implementación y puesta en marcha</t>
  </si>
  <si>
    <t>Incluida en precio de venta</t>
  </si>
  <si>
    <t>Capacitación de Personal</t>
  </si>
  <si>
    <t>Soporte técnico y garantía (30 dias)</t>
  </si>
  <si>
    <t>Mantenimiento Panel de Administración (Mensual post entrega)</t>
  </si>
  <si>
    <t>Mantenimiento Panel de Administración</t>
  </si>
  <si>
    <t>Mantenimiento App PWA Conductor (mensual, post entrega)</t>
  </si>
  <si>
    <t>Mantenimiento App PWA Conductor</t>
  </si>
  <si>
    <t>Total Otros</t>
  </si>
  <si>
    <t>Luz</t>
  </si>
  <si>
    <t>Agua</t>
  </si>
  <si>
    <t>Internet</t>
  </si>
  <si>
    <t>Total Servicios</t>
  </si>
  <si>
    <t>Egreso Gasto</t>
  </si>
  <si>
    <t>Arriendo, sueldo, servicios</t>
  </si>
  <si>
    <t>Egreso Costo</t>
  </si>
  <si>
    <t xml:space="preserve">Implementos tecnológicos y materiales </t>
  </si>
  <si>
    <t>Servicios = 4 meses</t>
  </si>
  <si>
    <t>Luz: $188.026</t>
  </si>
  <si>
    <t>Agua: $69.810</t>
  </si>
  <si>
    <t>Internet: $119.319</t>
  </si>
  <si>
    <t>Total:</t>
  </si>
  <si>
    <t>$377.155</t>
  </si>
  <si>
    <t>Y en Otros:</t>
  </si>
  <si>
    <t>Hosting: $43.200</t>
  </si>
  <si>
    <t>$420.355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</si>
</sst>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\-_ ;_ @_ "/>
    <numFmt numFmtId="165" formatCode="[$$]#,##0"/>
    <numFmt numFmtId="166" formatCode="_ * #,##0.00_ ;_ * \-#,##0.00_ ;_ * \-_ ;_ @_ "/>
    <numFmt numFmtId="167" formatCode="_ \$* #,##0_ ;_ \$* \-#,##0_ ;_ \$* \-_ ;_ @_ "/>
  </numFmts>
  <fonts count="14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sz val="11.0"/>
      <color theme="1"/>
      <name val="Arial"/>
    </font>
    <font>
      <b/>
      <sz val="11.0"/>
      <color rgb="FFFF0000"/>
      <name val="Calibri"/>
    </font>
    <font>
      <sz val="11.0"/>
      <color rgb="FF000000"/>
      <name val="Arial Narrow"/>
    </font>
    <font>
      <sz val="11.0"/>
      <color theme="1"/>
      <name val="Arial Narrow"/>
    </font>
    <font>
      <sz val="11.0"/>
      <color theme="1"/>
      <name val="Noto Sans Symbols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</fills>
  <borders count="6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0" fillId="0" fontId="4" numFmtId="0" xfId="0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3" fontId="5" numFmtId="0" xfId="0" applyBorder="1" applyFill="1" applyFont="1"/>
    <xf borderId="8" fillId="2" fontId="6" numFmtId="0" xfId="0" applyAlignment="1" applyBorder="1" applyFill="1" applyFont="1">
      <alignment horizontal="center"/>
    </xf>
    <xf borderId="0" fillId="0" fontId="7" numFmtId="164" xfId="0" applyFont="1" applyNumberFormat="1"/>
    <xf borderId="9" fillId="0" fontId="3" numFmtId="0" xfId="0" applyBorder="1" applyFont="1"/>
    <xf borderId="10" fillId="0" fontId="3" numFmtId="0" xfId="0" applyBorder="1" applyFont="1"/>
    <xf borderId="11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13" fillId="0" fontId="8" numFmtId="0" xfId="0" applyAlignment="1" applyBorder="1" applyFont="1">
      <alignment horizontal="center" readingOrder="0"/>
    </xf>
    <xf borderId="14" fillId="2" fontId="7" numFmtId="0" xfId="0" applyBorder="1" applyFill="1" applyFont="1"/>
    <xf borderId="15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 readingOrder="0"/>
    </xf>
    <xf borderId="17" fillId="2" fontId="7" numFmtId="164" xfId="0" applyAlignment="1" applyBorder="1" applyFill="1" applyFont="1" applyNumberFormat="1">
      <alignment readingOrder="0"/>
    </xf>
    <xf borderId="18" fillId="0" fontId="7" numFmtId="0" xfId="0" applyBorder="1" applyFont="1"/>
    <xf borderId="17" fillId="2" fontId="7" numFmtId="164" xfId="0" applyBorder="1" applyFill="1" applyFont="1" applyNumberFormat="1"/>
    <xf borderId="18" fillId="0" fontId="7" numFmtId="164" xfId="0" applyBorder="1" applyFont="1" applyNumberFormat="1"/>
    <xf borderId="19" fillId="4" fontId="6" numFmtId="0" xfId="0" applyBorder="1" applyFill="1" applyFont="1"/>
    <xf borderId="20" fillId="4" fontId="6" numFmtId="0" xfId="0" applyBorder="1" applyFill="1" applyFont="1"/>
    <xf borderId="20" fillId="4" fontId="6" numFmtId="0" xfId="0" applyAlignment="1" applyBorder="1" applyFill="1" applyFont="1">
      <alignment horizontal="right"/>
    </xf>
    <xf borderId="21" fillId="0" fontId="7" numFmtId="0" xfId="0" applyAlignment="1" applyBorder="1" applyFont="1">
      <alignment horizontal="center"/>
    </xf>
    <xf borderId="21" fillId="0" fontId="7" numFmtId="0" xfId="0" applyAlignment="1" applyBorder="1" applyFont="1">
      <alignment horizontal="left"/>
    </xf>
    <xf borderId="18" fillId="0" fontId="7" numFmtId="165" xfId="0" applyAlignment="1" applyBorder="1" applyFont="1" applyNumberFormat="1">
      <alignment readingOrder="0"/>
    </xf>
    <xf borderId="22" fillId="0" fontId="7" numFmtId="165" xfId="0" applyAlignment="1" applyBorder="1" applyFont="1" applyNumberFormat="1">
      <alignment readingOrder="0"/>
    </xf>
    <xf borderId="23" fillId="0" fontId="7" numFmtId="165" xfId="0" applyAlignment="1" applyBorder="1" applyFont="1" applyNumberFormat="1">
      <alignment readingOrder="0"/>
    </xf>
    <xf borderId="0" fillId="0" fontId="7" numFmtId="165" xfId="0" applyFont="1" applyNumberFormat="1"/>
    <xf borderId="24" fillId="0" fontId="7" numFmtId="0" xfId="0" applyBorder="1" applyFont="1"/>
    <xf borderId="25" fillId="0" fontId="7" numFmtId="166" xfId="0" applyAlignment="1" applyBorder="1" applyFont="1" applyNumberFormat="1">
      <alignment readingOrder="0"/>
    </xf>
    <xf borderId="25" fillId="0" fontId="7" numFmtId="166" xfId="0" applyBorder="1" applyFont="1" applyNumberFormat="1"/>
    <xf borderId="26" fillId="0" fontId="7" numFmtId="0" xfId="0" applyAlignment="1" applyBorder="1" applyFont="1">
      <alignment readingOrder="0"/>
    </xf>
    <xf borderId="26" fillId="0" fontId="7" numFmtId="0" xfId="0" applyBorder="1" applyFont="1"/>
    <xf borderId="26" fillId="0" fontId="7" numFmtId="164" xfId="0" applyAlignment="1" applyBorder="1" applyFont="1" applyNumberFormat="1">
      <alignment readingOrder="0"/>
    </xf>
    <xf borderId="26" fillId="0" fontId="9" numFmtId="0" xfId="0" applyBorder="1" applyFont="1"/>
    <xf borderId="26" fillId="0" fontId="9" numFmtId="165" xfId="0" applyAlignment="1" applyBorder="1" applyFont="1" applyNumberFormat="1">
      <alignment readingOrder="0"/>
    </xf>
    <xf borderId="26" fillId="0" fontId="7" numFmtId="164" xfId="0" applyBorder="1" applyFont="1" applyNumberFormat="1"/>
    <xf borderId="0" fillId="0" fontId="4" numFmtId="165" xfId="0" applyAlignment="1" applyFont="1" applyNumberFormat="1">
      <alignment readingOrder="0"/>
    </xf>
    <xf borderId="27" fillId="0" fontId="7" numFmtId="0" xfId="0" applyAlignment="1" applyBorder="1" applyFont="1">
      <alignment horizontal="left"/>
    </xf>
    <xf borderId="26" fillId="0" fontId="9" numFmtId="165" xfId="0" applyBorder="1" applyFont="1" applyNumberFormat="1"/>
    <xf borderId="26" fillId="0" fontId="7" numFmtId="165" xfId="0" applyBorder="1" applyFont="1" applyNumberFormat="1"/>
    <xf borderId="8" fillId="0" fontId="7" numFmtId="165" xfId="0" applyBorder="1" applyFont="1" applyNumberFormat="1"/>
    <xf borderId="8" fillId="0" fontId="7" numFmtId="165" xfId="0" applyAlignment="1" applyBorder="1" applyFont="1" applyNumberFormat="1">
      <alignment readingOrder="0"/>
    </xf>
    <xf borderId="28" fillId="0" fontId="7" numFmtId="165" xfId="0" applyBorder="1" applyFont="1" applyNumberFormat="1"/>
    <xf borderId="24" fillId="3" fontId="7" numFmtId="0" xfId="0" applyBorder="1" applyFill="1" applyFont="1"/>
    <xf borderId="25" fillId="3" fontId="7" numFmtId="164" xfId="0" applyAlignment="1" applyBorder="1" applyFill="1" applyFont="1" applyNumberFormat="1">
      <alignment readingOrder="0"/>
    </xf>
    <xf borderId="25" fillId="3" fontId="7" numFmtId="164" xfId="0" applyBorder="1" applyFill="1" applyFont="1" applyNumberFormat="1"/>
    <xf borderId="25" fillId="0" fontId="7" numFmtId="164" xfId="0" applyBorder="1" applyFont="1" applyNumberFormat="1"/>
    <xf borderId="27" fillId="0" fontId="7" numFmtId="0" xfId="0" applyBorder="1" applyFont="1"/>
    <xf borderId="29" fillId="0" fontId="9" numFmtId="165" xfId="0" applyAlignment="1" applyBorder="1" applyFont="1" applyNumberFormat="1">
      <alignment readingOrder="0"/>
    </xf>
    <xf borderId="30" fillId="0" fontId="7" numFmtId="0" xfId="0" applyBorder="1" applyFont="1"/>
    <xf borderId="31" fillId="0" fontId="7" numFmtId="165" xfId="0" applyBorder="1" applyFont="1" applyNumberFormat="1"/>
    <xf borderId="31" fillId="0" fontId="7" numFmtId="165" xfId="0" applyAlignment="1" applyBorder="1" applyFont="1" applyNumberFormat="1">
      <alignment readingOrder="0"/>
    </xf>
    <xf borderId="32" fillId="0" fontId="7" numFmtId="165" xfId="0" applyBorder="1" applyFont="1" applyNumberFormat="1"/>
    <xf borderId="32" fillId="0" fontId="7" numFmtId="165" xfId="0" applyAlignment="1" applyBorder="1" applyFont="1" applyNumberFormat="1">
      <alignment readingOrder="0"/>
    </xf>
    <xf borderId="33" fillId="0" fontId="7" numFmtId="165" xfId="0" applyBorder="1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26" fillId="0" fontId="9" numFmtId="165" xfId="0" applyAlignment="1" applyBorder="1" applyFont="1" applyNumberFormat="1">
      <alignment horizontal="right"/>
    </xf>
    <xf borderId="0" fillId="0" fontId="9" numFmtId="0" xfId="0" applyAlignment="1" applyFont="1">
      <alignment horizontal="right"/>
    </xf>
    <xf borderId="34" fillId="5" fontId="7" numFmtId="0" xfId="0" applyBorder="1" applyFill="1" applyFont="1"/>
    <xf borderId="35" fillId="5" fontId="7" numFmtId="165" xfId="0" applyBorder="1" applyFill="1" applyFont="1" applyNumberFormat="1"/>
    <xf borderId="36" fillId="5" fontId="7" numFmtId="165" xfId="0" applyBorder="1" applyFill="1" applyFont="1" applyNumberFormat="1"/>
    <xf borderId="37" fillId="5" fontId="7" numFmtId="165" xfId="0" applyAlignment="1" applyBorder="1" applyFill="1" applyFont="1" applyNumberFormat="1">
      <alignment readingOrder="0"/>
    </xf>
    <xf borderId="38" fillId="5" fontId="7" numFmtId="165" xfId="0" applyBorder="1" applyFill="1" applyFont="1" applyNumberFormat="1"/>
    <xf borderId="24" fillId="2" fontId="7" numFmtId="0" xfId="0" applyAlignment="1" applyBorder="1" applyFill="1" applyFont="1">
      <alignment horizontal="center"/>
    </xf>
    <xf borderId="25" fillId="2" fontId="7" numFmtId="164" xfId="0" applyBorder="1" applyFill="1" applyFont="1" applyNumberFormat="1"/>
    <xf borderId="37" fillId="5" fontId="7" numFmtId="165" xfId="0" applyBorder="1" applyFill="1" applyFont="1" applyNumberFormat="1"/>
    <xf borderId="24" fillId="0" fontId="7" numFmtId="0" xfId="0" applyAlignment="1" applyBorder="1" applyFont="1">
      <alignment horizontal="center"/>
    </xf>
    <xf borderId="26" fillId="0" fontId="7" numFmtId="0" xfId="0" applyAlignment="1" applyBorder="1" applyFont="1">
      <alignment horizontal="center"/>
    </xf>
    <xf borderId="0" fillId="0" fontId="7" numFmtId="9" xfId="0" applyFont="1" applyNumberFormat="1"/>
    <xf borderId="39" fillId="0" fontId="9" numFmtId="0" xfId="0" applyBorder="1" applyFont="1"/>
    <xf borderId="25" fillId="0" fontId="7" numFmtId="164" xfId="0" applyAlignment="1" applyBorder="1" applyFont="1" applyNumberFormat="1">
      <alignment readingOrder="0"/>
    </xf>
    <xf borderId="21" fillId="0" fontId="2" numFmtId="0" xfId="0" applyAlignment="1" applyBorder="1" applyFont="1">
      <alignment horizontal="center"/>
    </xf>
    <xf borderId="26" fillId="0" fontId="7" numFmtId="0" xfId="0" applyAlignment="1" applyBorder="1" applyFont="1">
      <alignment horizontal="center" readingOrder="0"/>
    </xf>
    <xf borderId="40" fillId="0" fontId="3" numFmtId="0" xfId="0" applyBorder="1" applyFont="1"/>
    <xf borderId="41" fillId="0" fontId="3" numFmtId="0" xfId="0" applyBorder="1" applyFont="1"/>
    <xf borderId="0" fillId="0" fontId="7" numFmtId="166" xfId="0" applyFont="1" applyNumberFormat="1"/>
    <xf borderId="0" fillId="0" fontId="9" numFmtId="0" xfId="0" applyAlignment="1" applyFont="1">
      <alignment readingOrder="0"/>
    </xf>
    <xf borderId="26" fillId="0" fontId="7" numFmtId="164" xfId="0" applyAlignment="1" applyBorder="1" applyFont="1" applyNumberFormat="1">
      <alignment horizontal="center"/>
    </xf>
    <xf borderId="26" fillId="0" fontId="7" numFmtId="164" xfId="0" applyAlignment="1" applyBorder="1" applyFont="1" applyNumberFormat="1">
      <alignment horizontal="center" readingOrder="0"/>
    </xf>
    <xf borderId="42" fillId="0" fontId="7" numFmtId="0" xfId="0" applyAlignment="1" applyBorder="1" applyFont="1">
      <alignment horizontal="center"/>
    </xf>
    <xf borderId="43" fillId="5" fontId="7" numFmtId="0" xfId="0" applyBorder="1" applyFill="1" applyFont="1"/>
    <xf borderId="26" fillId="0" fontId="7" numFmtId="9" xfId="0" applyAlignment="1" applyBorder="1" applyFont="1" applyNumberFormat="1">
      <alignment horizontal="center"/>
    </xf>
    <xf borderId="26" fillId="0" fontId="7" numFmtId="165" xfId="0" applyAlignment="1" applyBorder="1" applyFont="1" applyNumberFormat="1">
      <alignment readingOrder="0"/>
    </xf>
    <xf borderId="28" fillId="0" fontId="7" numFmtId="165" xfId="0" applyAlignment="1" applyBorder="1" applyFont="1" applyNumberFormat="1">
      <alignment readingOrder="0"/>
    </xf>
    <xf borderId="44" fillId="0" fontId="7" numFmtId="0" xfId="0" applyAlignment="1" applyBorder="1" applyFont="1">
      <alignment horizontal="center"/>
    </xf>
    <xf borderId="45" fillId="0" fontId="7" numFmtId="164" xfId="0" applyAlignment="1" applyBorder="1" applyFont="1" applyNumberFormat="1">
      <alignment readingOrder="0"/>
    </xf>
    <xf borderId="45" fillId="0" fontId="7" numFmtId="164" xfId="0" applyBorder="1" applyFont="1" applyNumberFormat="1"/>
    <xf borderId="46" fillId="6" fontId="7" numFmtId="0" xfId="0" applyAlignment="1" applyBorder="1" applyFill="1" applyFont="1">
      <alignment horizontal="center" shrinkToFit="0" vertical="center" wrapText="1"/>
    </xf>
    <xf borderId="47" fillId="6" fontId="7" numFmtId="0" xfId="0" applyAlignment="1" applyBorder="1" applyFill="1" applyFont="1">
      <alignment horizontal="center" shrinkToFit="0" vertical="center" wrapText="1"/>
    </xf>
    <xf borderId="48" fillId="7" fontId="7" numFmtId="0" xfId="0" applyBorder="1" applyFill="1" applyFont="1"/>
    <xf borderId="49" fillId="7" fontId="7" numFmtId="165" xfId="0" applyBorder="1" applyFill="1" applyFont="1" applyNumberFormat="1"/>
    <xf borderId="50" fillId="7" fontId="7" numFmtId="165" xfId="0" applyAlignment="1" applyBorder="1" applyFill="1" applyFont="1" applyNumberFormat="1">
      <alignment readingOrder="0"/>
    </xf>
    <xf borderId="51" fillId="7" fontId="7" numFmtId="165" xfId="0" applyBorder="1" applyFill="1" applyFont="1" applyNumberFormat="1"/>
    <xf borderId="50" fillId="7" fontId="7" numFmtId="165" xfId="0" applyBorder="1" applyFill="1" applyFont="1" applyNumberFormat="1"/>
    <xf borderId="51" fillId="8" fontId="7" numFmtId="165" xfId="0" applyBorder="1" applyFill="1" applyFont="1" applyNumberFormat="1"/>
    <xf borderId="52" fillId="0" fontId="7" numFmtId="0" xfId="0" applyAlignment="1" applyBorder="1" applyFont="1">
      <alignment shrinkToFit="0" wrapText="1"/>
    </xf>
    <xf borderId="53" fillId="0" fontId="7" numFmtId="3" xfId="0" applyAlignment="1" applyBorder="1" applyFont="1" applyNumberFormat="1">
      <alignment horizontal="right" shrinkToFit="0" wrapText="1"/>
    </xf>
    <xf borderId="54" fillId="0" fontId="7" numFmtId="0" xfId="0" applyAlignment="1" applyBorder="1" applyFont="1">
      <alignment shrinkToFit="0" wrapText="1"/>
    </xf>
    <xf borderId="53" fillId="0" fontId="7" numFmtId="3" xfId="0" applyAlignment="1" applyBorder="1" applyFont="1" applyNumberFormat="1">
      <alignment horizontal="right" readingOrder="0" shrinkToFit="0" wrapText="1"/>
    </xf>
    <xf borderId="55" fillId="0" fontId="7" numFmtId="3" xfId="0" applyAlignment="1" applyBorder="1" applyFont="1" applyNumberFormat="1">
      <alignment horizontal="right" shrinkToFit="0" wrapText="1"/>
    </xf>
    <xf borderId="34" fillId="5" fontId="2" numFmtId="0" xfId="0" applyBorder="1" applyFill="1" applyFont="1"/>
    <xf borderId="36" fillId="5" fontId="2" numFmtId="165" xfId="0" applyBorder="1" applyFill="1" applyFont="1" applyNumberFormat="1"/>
    <xf borderId="37" fillId="5" fontId="2" numFmtId="165" xfId="0" applyAlignment="1" applyBorder="1" applyFill="1" applyFont="1" applyNumberFormat="1">
      <alignment readingOrder="0"/>
    </xf>
    <xf borderId="37" fillId="5" fontId="2" numFmtId="165" xfId="0" applyBorder="1" applyFill="1" applyFont="1" applyNumberFormat="1"/>
    <xf borderId="38" fillId="5" fontId="2" numFmtId="165" xfId="0" applyBorder="1" applyFill="1" applyFont="1" applyNumberFormat="1"/>
    <xf borderId="11" fillId="0" fontId="7" numFmtId="0" xfId="0" applyAlignment="1" applyBorder="1" applyFont="1">
      <alignment shrinkToFit="0" wrapText="1"/>
    </xf>
    <xf borderId="11" fillId="0" fontId="7" numFmtId="3" xfId="0" applyAlignment="1" applyBorder="1" applyFont="1" applyNumberFormat="1">
      <alignment horizontal="right" shrinkToFit="0" wrapText="1"/>
    </xf>
    <xf borderId="0" fillId="0" fontId="7" numFmtId="0" xfId="0" applyAlignment="1" applyFont="1">
      <alignment shrinkToFit="0" wrapText="1"/>
    </xf>
    <xf borderId="31" fillId="0" fontId="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left" shrinkToFit="0" wrapText="1"/>
    </xf>
    <xf borderId="26" fillId="0" fontId="11" numFmtId="165" xfId="0" applyAlignment="1" applyBorder="1" applyFont="1" applyNumberFormat="1">
      <alignment horizontal="right"/>
    </xf>
    <xf borderId="26" fillId="0" fontId="11" numFmtId="165" xfId="0" applyAlignment="1" applyBorder="1" applyFont="1" applyNumberFormat="1">
      <alignment horizontal="right" readingOrder="0"/>
    </xf>
    <xf borderId="29" fillId="0" fontId="3" numFmtId="0" xfId="0" applyBorder="1" applyFont="1"/>
    <xf borderId="8" fillId="0" fontId="7" numFmtId="0" xfId="0" applyBorder="1" applyFont="1"/>
    <xf borderId="26" fillId="0" fontId="12" numFmtId="165" xfId="0" applyAlignment="1" applyBorder="1" applyFont="1" applyNumberFormat="1">
      <alignment horizontal="right" vertical="center"/>
    </xf>
    <xf borderId="26" fillId="0" fontId="12" numFmtId="165" xfId="0" applyAlignment="1" applyBorder="1" applyFont="1" applyNumberFormat="1">
      <alignment horizontal="right" readingOrder="0" vertical="center"/>
    </xf>
    <xf borderId="0" fillId="0" fontId="4" numFmtId="0" xfId="0" applyAlignment="1" applyFont="1">
      <alignment readingOrder="0"/>
    </xf>
    <xf borderId="26" fillId="0" fontId="12" numFmtId="165" xfId="0" applyAlignment="1" applyBorder="1" applyFont="1" applyNumberFormat="1">
      <alignment horizontal="right"/>
    </xf>
    <xf borderId="9" fillId="0" fontId="7" numFmtId="0" xfId="0" applyBorder="1" applyFont="1"/>
    <xf borderId="10" fillId="0" fontId="7" numFmtId="0" xfId="0" applyBorder="1" applyFont="1"/>
    <xf borderId="26" fillId="0" fontId="12" numFmtId="165" xfId="0" applyAlignment="1" applyBorder="1" applyFont="1" applyNumberFormat="1">
      <alignment horizontal="right" readingOrder="0"/>
    </xf>
    <xf borderId="18" fillId="0" fontId="3" numFmtId="0" xfId="0" applyBorder="1" applyFont="1"/>
    <xf borderId="8" fillId="0" fontId="7" numFmtId="0" xfId="0" applyAlignment="1" applyBorder="1" applyFont="1">
      <alignment horizontal="left"/>
    </xf>
    <xf borderId="56" fillId="5" fontId="2" numFmtId="0" xfId="0" applyAlignment="1" applyBorder="1" applyFill="1" applyFont="1">
      <alignment horizontal="left"/>
    </xf>
    <xf borderId="57" fillId="0" fontId="3" numFmtId="0" xfId="0" applyBorder="1" applyFont="1"/>
    <xf borderId="58" fillId="0" fontId="3" numFmtId="0" xfId="0" applyBorder="1" applyFont="1"/>
    <xf borderId="19" fillId="5" fontId="2" numFmtId="165" xfId="0" applyAlignment="1" applyBorder="1" applyFill="1" applyFont="1" applyNumberFormat="1">
      <alignment horizontal="righ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31" fillId="0" fontId="2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left" readingOrder="0" shrinkToFit="0" wrapText="1"/>
    </xf>
    <xf borderId="26" fillId="0" fontId="11" numFmtId="3" xfId="0" applyAlignment="1" applyBorder="1" applyFont="1" applyNumberFormat="1">
      <alignment horizontal="right" readingOrder="0"/>
    </xf>
    <xf borderId="26" fillId="0" fontId="11" numFmtId="165" xfId="0" applyAlignment="1" applyBorder="1" applyFont="1" applyNumberFormat="1">
      <alignment horizontal="right" readingOrder="0"/>
    </xf>
    <xf borderId="8" fillId="0" fontId="7" numFmtId="0" xfId="0" applyAlignment="1" applyBorder="1" applyFont="1">
      <alignment readingOrder="0"/>
    </xf>
    <xf borderId="26" fillId="0" fontId="11" numFmtId="165" xfId="0" applyAlignment="1" applyBorder="1" applyFont="1" applyNumberFormat="1">
      <alignment horizontal="right" readingOrder="0"/>
    </xf>
    <xf borderId="26" fillId="0" fontId="13" numFmtId="3" xfId="0" applyAlignment="1" applyBorder="1" applyFont="1" applyNumberFormat="1">
      <alignment horizontal="right" readingOrder="0" vertical="center"/>
    </xf>
    <xf borderId="26" fillId="0" fontId="13" numFmtId="165" xfId="0" applyAlignment="1" applyBorder="1" applyFont="1" applyNumberFormat="1">
      <alignment horizontal="right" readingOrder="0" vertical="center"/>
    </xf>
    <xf borderId="26" fillId="0" fontId="7" numFmtId="3" xfId="0" applyAlignment="1" applyBorder="1" applyFont="1" applyNumberFormat="1">
      <alignment horizontal="right"/>
    </xf>
    <xf borderId="26" fillId="0" fontId="7" numFmtId="165" xfId="0" applyAlignment="1" applyBorder="1" applyFont="1" applyNumberFormat="1">
      <alignment horizontal="right"/>
    </xf>
    <xf borderId="26" fillId="0" fontId="13" numFmtId="3" xfId="0" applyAlignment="1" applyBorder="1" applyFont="1" applyNumberFormat="1">
      <alignment horizontal="right" vertical="center"/>
    </xf>
    <xf borderId="26" fillId="0" fontId="13" numFmtId="165" xfId="0" applyAlignment="1" applyBorder="1" applyFont="1" applyNumberFormat="1">
      <alignment horizontal="right" vertical="center"/>
    </xf>
    <xf borderId="8" fillId="5" fontId="2" numFmtId="0" xfId="0" applyAlignment="1" applyBorder="1" applyFill="1" applyFont="1">
      <alignment horizontal="left" readingOrder="0"/>
    </xf>
    <xf borderId="26" fillId="5" fontId="2" numFmtId="167" xfId="0" applyAlignment="1" applyBorder="1" applyFill="1" applyFont="1" applyNumberFormat="1">
      <alignment horizontal="right"/>
    </xf>
    <xf borderId="0" fillId="0" fontId="2" numFmtId="0" xfId="0" applyFont="1"/>
    <xf borderId="0" fillId="0" fontId="7" numFmtId="0" xfId="0" applyAlignment="1" applyFont="1">
      <alignment horizontal="left"/>
    </xf>
    <xf borderId="0" fillId="0" fontId="7" numFmtId="3" xfId="0" applyFont="1" applyNumberFormat="1"/>
    <xf borderId="59" fillId="0" fontId="4" numFmtId="0" xfId="0" applyAlignment="1" applyBorder="1" applyFont="1">
      <alignment readingOrder="0"/>
    </xf>
    <xf borderId="60" fillId="0" fontId="4" numFmtId="0" xfId="0" applyBorder="1" applyFont="1"/>
    <xf borderId="60" fillId="0" fontId="4" numFmtId="0" xfId="0" applyAlignment="1" applyBorder="1" applyFont="1">
      <alignment readingOrder="0"/>
    </xf>
    <xf borderId="6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4.29"/>
    <col customWidth="1" min="4" max="4" width="17.57"/>
    <col customWidth="1" min="5" max="5" width="20.14"/>
    <col customWidth="1" min="6" max="6" width="12.86"/>
    <col customWidth="1" min="7" max="7" width="43.71"/>
    <col customWidth="1" min="9" max="9" width="14.29"/>
    <col customWidth="1" min="10" max="10" width="13.71"/>
    <col customWidth="1" min="11" max="11" width="12.14"/>
    <col customWidth="1" min="12" max="12" width="24.14"/>
    <col customWidth="1" min="13" max="13" width="12.43"/>
    <col customWidth="1" min="14" max="14" width="4.86"/>
    <col customWidth="1" min="15" max="16" width="10.71"/>
    <col customWidth="1" min="17" max="17" width="32.57"/>
    <col customWidth="1" min="18" max="18" width="19.0"/>
    <col customWidth="1" min="19" max="19" width="17.14"/>
    <col customWidth="1" min="20" max="20" width="11.57"/>
    <col customWidth="1" min="21" max="21" width="6.0"/>
  </cols>
  <sheetData>
    <row r="1" ht="15.0" customHeight="1">
      <c r="B1" s="1" t="s">
        <v>0</v>
      </c>
    </row>
    <row r="2" ht="15.0" customHeight="1">
      <c r="B2" s="1" t="s">
        <v>1</v>
      </c>
    </row>
    <row r="3" ht="15.0" customHeight="1">
      <c r="B3" s="1"/>
      <c r="C3" s="1"/>
      <c r="D3" s="1"/>
      <c r="E3" s="1"/>
      <c r="F3" s="1"/>
      <c r="G3" s="1"/>
      <c r="H3" s="1"/>
      <c r="I3" s="1"/>
    </row>
    <row r="4" ht="15.0" customHeight="1">
      <c r="B4" s="2" t="s">
        <v>2</v>
      </c>
    </row>
    <row r="5" ht="15.0" customHeight="1">
      <c r="C5" s="3" t="s">
        <v>3</v>
      </c>
      <c r="D5" s="4"/>
      <c r="E5" s="4"/>
      <c r="F5" s="6"/>
      <c r="G5" s="2"/>
      <c r="I5" s="7" t="s">
        <v>7</v>
      </c>
      <c r="J5" s="8"/>
      <c r="L5" s="7" t="s">
        <v>17</v>
      </c>
      <c r="M5" s="9"/>
      <c r="N5" s="2"/>
      <c r="Q5" s="11" t="s">
        <v>19</v>
      </c>
      <c r="R5" s="13"/>
      <c r="S5" s="13"/>
      <c r="T5" s="13"/>
      <c r="U5" s="14"/>
    </row>
    <row r="6" ht="15.75" customHeight="1">
      <c r="C6" s="15" t="s">
        <v>4</v>
      </c>
      <c r="D6" s="15" t="s">
        <v>5</v>
      </c>
      <c r="E6" s="15" t="s">
        <v>6</v>
      </c>
      <c r="F6" s="15" t="s">
        <v>8</v>
      </c>
      <c r="G6" s="17"/>
      <c r="I6" s="19" t="s">
        <v>22</v>
      </c>
      <c r="J6" s="22">
        <v>420355.0</v>
      </c>
      <c r="K6" s="12"/>
      <c r="L6" s="23" t="s">
        <v>23</v>
      </c>
      <c r="M6" s="25">
        <f>(J13*-1)+(-M21)</f>
        <v>-420355</v>
      </c>
      <c r="Q6" s="26" t="s">
        <v>26</v>
      </c>
      <c r="R6" s="27" t="s">
        <v>27</v>
      </c>
      <c r="S6" s="27" t="s">
        <v>28</v>
      </c>
      <c r="T6" s="28" t="s">
        <v>29</v>
      </c>
      <c r="U6" s="27" t="s">
        <v>30</v>
      </c>
    </row>
    <row r="7" ht="15.0" customHeight="1">
      <c r="B7" s="30" t="s">
        <v>31</v>
      </c>
      <c r="C7" s="31">
        <v>5000000.0</v>
      </c>
      <c r="D7" s="31">
        <v>5000000.0</v>
      </c>
      <c r="E7" s="31">
        <v>5000000.0</v>
      </c>
      <c r="F7" s="31">
        <v>5000000.0</v>
      </c>
      <c r="G7" s="34"/>
      <c r="I7" s="35" t="s">
        <v>32</v>
      </c>
      <c r="J7" s="36">
        <v>6.59</v>
      </c>
      <c r="K7" s="12"/>
      <c r="L7" s="38" t="s">
        <v>34</v>
      </c>
      <c r="M7" s="40">
        <v>0.0</v>
      </c>
      <c r="Q7" s="41" t="s">
        <v>37</v>
      </c>
      <c r="R7" s="41" t="s">
        <v>38</v>
      </c>
      <c r="S7" s="42">
        <v>1400000.0</v>
      </c>
      <c r="T7" s="44">
        <v>8000.0</v>
      </c>
      <c r="U7" s="41" t="s">
        <v>30</v>
      </c>
    </row>
    <row r="8" ht="15.0" customHeight="1">
      <c r="B8" s="45" t="s">
        <v>39</v>
      </c>
      <c r="C8" s="47">
        <v>0.0</v>
      </c>
      <c r="D8" s="47">
        <v>0.0</v>
      </c>
      <c r="E8" s="48">
        <v>0.0</v>
      </c>
      <c r="F8" s="50">
        <v>0.0</v>
      </c>
      <c r="G8" s="34"/>
      <c r="I8" s="51" t="s">
        <v>40</v>
      </c>
      <c r="J8" s="52">
        <v>450000.0</v>
      </c>
      <c r="K8" s="12"/>
      <c r="L8" s="38" t="s">
        <v>41</v>
      </c>
      <c r="M8" s="43">
        <f>+D23</f>
        <v>262513</v>
      </c>
      <c r="Q8" s="41" t="s">
        <v>42</v>
      </c>
      <c r="R8" s="41" t="s">
        <v>43</v>
      </c>
      <c r="S8" s="42">
        <v>1200000.0</v>
      </c>
      <c r="T8" s="44">
        <v>8000.0</v>
      </c>
      <c r="U8" s="41" t="s">
        <v>30</v>
      </c>
    </row>
    <row r="9" ht="15.0" customHeight="1">
      <c r="B9" s="45" t="s">
        <v>44</v>
      </c>
      <c r="C9" s="47">
        <v>0.0</v>
      </c>
      <c r="D9" s="47">
        <v>0.0</v>
      </c>
      <c r="E9" s="48">
        <v>0.0</v>
      </c>
      <c r="F9" s="50">
        <v>0.0</v>
      </c>
      <c r="G9" s="34"/>
      <c r="I9" s="35" t="s">
        <v>32</v>
      </c>
      <c r="J9" s="54">
        <f>+J8-J6</f>
        <v>29645</v>
      </c>
      <c r="K9" s="12"/>
      <c r="L9" s="38" t="s">
        <v>45</v>
      </c>
      <c r="M9" s="43">
        <f>+E23</f>
        <v>262513</v>
      </c>
      <c r="Q9" s="41" t="s">
        <v>46</v>
      </c>
      <c r="R9" s="41" t="s">
        <v>47</v>
      </c>
      <c r="S9" s="42">
        <v>1000000.0</v>
      </c>
      <c r="T9" s="44">
        <v>8000.0</v>
      </c>
      <c r="U9" s="41" t="s">
        <v>30</v>
      </c>
    </row>
    <row r="10" ht="15.0" customHeight="1">
      <c r="B10" s="55" t="s">
        <v>48</v>
      </c>
      <c r="C10" s="47">
        <v>0.0</v>
      </c>
      <c r="D10" s="47">
        <v>0.0</v>
      </c>
      <c r="E10" s="48">
        <v>0.0</v>
      </c>
      <c r="F10" s="50">
        <v>0.0</v>
      </c>
      <c r="G10" s="34"/>
      <c r="I10" s="35"/>
      <c r="J10" s="54"/>
      <c r="K10" s="12"/>
      <c r="L10" s="38" t="s">
        <v>49</v>
      </c>
      <c r="M10" s="43">
        <f>F23</f>
        <v>262513</v>
      </c>
      <c r="Q10" s="41" t="s">
        <v>50</v>
      </c>
      <c r="R10" s="41" t="s">
        <v>47</v>
      </c>
      <c r="S10" s="56">
        <v>1000000.0</v>
      </c>
      <c r="T10" s="44">
        <v>8000.0</v>
      </c>
      <c r="U10" s="41" t="s">
        <v>30</v>
      </c>
    </row>
    <row r="11" ht="15.0" customHeight="1">
      <c r="B11" s="57" t="s">
        <v>51</v>
      </c>
      <c r="C11" s="58">
        <v>0.0</v>
      </c>
      <c r="D11" s="59">
        <v>0.0</v>
      </c>
      <c r="E11" s="60">
        <v>0.0</v>
      </c>
      <c r="F11" s="62">
        <v>0.0</v>
      </c>
      <c r="G11" s="34"/>
      <c r="I11" s="35"/>
      <c r="J11" s="54"/>
      <c r="K11" s="12"/>
      <c r="L11" s="39"/>
      <c r="M11" s="43"/>
      <c r="Q11" s="63"/>
      <c r="R11" s="63"/>
      <c r="S11" s="46"/>
      <c r="T11" s="63"/>
      <c r="U11" s="63"/>
    </row>
    <row r="12" ht="15.0" customHeight="1">
      <c r="B12" s="57" t="s">
        <v>52</v>
      </c>
      <c r="C12" s="58">
        <f>SUM(C7:C10)</f>
        <v>5000000</v>
      </c>
      <c r="D12" s="58">
        <f t="shared" ref="D12:F12" si="1">SUM(D7:D11)</f>
        <v>5000000</v>
      </c>
      <c r="E12" s="60">
        <f t="shared" si="1"/>
        <v>5000000</v>
      </c>
      <c r="F12" s="62">
        <f t="shared" si="1"/>
        <v>5000000</v>
      </c>
      <c r="G12" s="64" t="s">
        <v>2</v>
      </c>
      <c r="I12" s="35"/>
      <c r="J12" s="54"/>
      <c r="K12" s="12"/>
      <c r="L12" s="39"/>
      <c r="M12" s="43"/>
      <c r="Q12" s="63"/>
      <c r="R12" s="41" t="s">
        <v>53</v>
      </c>
      <c r="S12" s="65">
        <f>SUM(S7:S10)</f>
        <v>4600000</v>
      </c>
      <c r="T12" s="66"/>
      <c r="U12" s="63"/>
    </row>
    <row r="13" ht="15.0" customHeight="1">
      <c r="B13" s="67" t="s">
        <v>54</v>
      </c>
      <c r="C13" s="68">
        <f>+C12</f>
        <v>5000000</v>
      </c>
      <c r="D13" s="69">
        <f t="shared" ref="D13:F13" si="2">D12</f>
        <v>5000000</v>
      </c>
      <c r="E13" s="74">
        <f t="shared" si="2"/>
        <v>5000000</v>
      </c>
      <c r="F13" s="71">
        <f t="shared" si="2"/>
        <v>5000000</v>
      </c>
      <c r="G13" s="34">
        <f>SUM(C13,D13,E13,F13)</f>
        <v>20000000</v>
      </c>
      <c r="I13" s="72" t="s">
        <v>55</v>
      </c>
      <c r="J13" s="73">
        <v>0.0</v>
      </c>
      <c r="K13" s="12"/>
      <c r="L13" s="39"/>
      <c r="M13" s="39"/>
      <c r="Q13" s="63"/>
      <c r="R13" s="41" t="s">
        <v>56</v>
      </c>
      <c r="S13" s="65">
        <f>8*T7</f>
        <v>64000</v>
      </c>
      <c r="T13" s="63"/>
      <c r="U13" s="63"/>
    </row>
    <row r="14" ht="15.0" customHeight="1">
      <c r="C14" s="12"/>
      <c r="D14" s="12"/>
      <c r="E14" s="12"/>
      <c r="I14" s="75" t="s">
        <v>57</v>
      </c>
      <c r="J14" s="79">
        <v>0.0</v>
      </c>
      <c r="K14" s="12"/>
      <c r="L14" s="39" t="s">
        <v>58</v>
      </c>
      <c r="M14" s="81">
        <v>1.5</v>
      </c>
      <c r="N14" s="77">
        <f>+M14/100</f>
        <v>0.015</v>
      </c>
      <c r="Q14" s="78"/>
      <c r="R14" s="41" t="s">
        <v>59</v>
      </c>
      <c r="S14" s="46">
        <f>S12*4</f>
        <v>18400000</v>
      </c>
      <c r="T14" s="85" t="s">
        <v>63</v>
      </c>
      <c r="U14" s="63"/>
    </row>
    <row r="15" ht="15.0" customHeight="1">
      <c r="B15" s="80" t="s">
        <v>60</v>
      </c>
      <c r="C15" s="82"/>
      <c r="D15" s="82"/>
      <c r="E15" s="82"/>
      <c r="F15" s="83"/>
      <c r="I15" s="75" t="s">
        <v>61</v>
      </c>
      <c r="J15" s="36">
        <v>0.0</v>
      </c>
      <c r="K15" s="84"/>
      <c r="L15" s="39" t="s">
        <v>62</v>
      </c>
      <c r="M15" s="87">
        <f t="array" ref="M15">NPV(N14,C23,D23,E23,F23)-J13</f>
        <v>1011826.077</v>
      </c>
      <c r="Q15" s="63"/>
      <c r="R15" s="63"/>
      <c r="S15" s="63"/>
      <c r="T15" s="63"/>
      <c r="U15" s="63"/>
    </row>
    <row r="16" ht="15.0" customHeight="1">
      <c r="B16" s="88" t="s">
        <v>64</v>
      </c>
      <c r="C16" s="47">
        <v>0.0</v>
      </c>
      <c r="D16" s="47">
        <v>0.0</v>
      </c>
      <c r="E16" s="48">
        <v>0.0</v>
      </c>
      <c r="F16" s="50">
        <v>0.0</v>
      </c>
      <c r="I16" s="75" t="s">
        <v>65</v>
      </c>
      <c r="J16" s="79">
        <v>0.0</v>
      </c>
      <c r="K16" s="12"/>
      <c r="L16" s="39" t="s">
        <v>66</v>
      </c>
      <c r="M16" s="90">
        <f>IFERROR(IRR(M6:M10),0)</f>
        <v>0.2390650727</v>
      </c>
      <c r="Q16" s="11" t="s">
        <v>67</v>
      </c>
      <c r="R16" s="13"/>
      <c r="S16" s="13"/>
      <c r="T16" s="13"/>
      <c r="U16" s="14"/>
    </row>
    <row r="17" ht="15.0" customHeight="1">
      <c r="B17" s="88" t="s">
        <v>68</v>
      </c>
      <c r="C17" s="91">
        <v>4600000.0</v>
      </c>
      <c r="D17" s="91">
        <v>4600000.0</v>
      </c>
      <c r="E17" s="91">
        <v>4600000.0</v>
      </c>
      <c r="F17" s="91">
        <v>4600000.0</v>
      </c>
      <c r="I17" s="93" t="s">
        <v>69</v>
      </c>
      <c r="J17" s="94">
        <v>0.0</v>
      </c>
      <c r="K17" s="12"/>
      <c r="Q17" s="26" t="s">
        <v>26</v>
      </c>
      <c r="R17" s="27" t="s">
        <v>27</v>
      </c>
      <c r="S17" s="27" t="s">
        <v>28</v>
      </c>
      <c r="T17" s="28" t="s">
        <v>29</v>
      </c>
      <c r="U17" s="27" t="s">
        <v>30</v>
      </c>
    </row>
    <row r="18" ht="15.0" customHeight="1">
      <c r="B18" s="88" t="s">
        <v>70</v>
      </c>
      <c r="C18" s="91">
        <v>94287.0</v>
      </c>
      <c r="D18" s="91">
        <v>94287.0</v>
      </c>
      <c r="E18" s="91">
        <v>94287.0</v>
      </c>
      <c r="F18" s="91">
        <v>94287.0</v>
      </c>
      <c r="Q18" s="41"/>
      <c r="R18" s="41" t="s">
        <v>71</v>
      </c>
      <c r="S18" s="65">
        <v>0.0</v>
      </c>
      <c r="T18" s="46">
        <v>0.0</v>
      </c>
      <c r="U18" s="41" t="s">
        <v>30</v>
      </c>
    </row>
    <row r="19" ht="15.0" customHeight="1">
      <c r="B19" s="88" t="s">
        <v>72</v>
      </c>
      <c r="C19" s="47">
        <v>0.0</v>
      </c>
      <c r="D19" s="47">
        <v>0.0</v>
      </c>
      <c r="E19" s="48">
        <v>0.0</v>
      </c>
      <c r="F19" s="50">
        <v>0.0</v>
      </c>
      <c r="L19" s="7" t="s">
        <v>73</v>
      </c>
      <c r="M19" s="8"/>
      <c r="Q19" s="63"/>
      <c r="R19" s="63"/>
      <c r="S19" s="63"/>
      <c r="T19" s="63"/>
      <c r="U19" s="63"/>
    </row>
    <row r="20" ht="15.0" customHeight="1">
      <c r="B20" s="88" t="s">
        <v>74</v>
      </c>
      <c r="C20" s="91">
        <v>43200.0</v>
      </c>
      <c r="D20" s="91">
        <v>43200.0</v>
      </c>
      <c r="E20" s="91">
        <v>43200.0</v>
      </c>
      <c r="F20" s="91">
        <v>43200.0</v>
      </c>
      <c r="G20" s="64" t="s">
        <v>75</v>
      </c>
      <c r="K20" s="12"/>
      <c r="L20" s="96" t="s">
        <v>76</v>
      </c>
      <c r="M20" s="97" t="s">
        <v>77</v>
      </c>
      <c r="Q20" s="63"/>
      <c r="R20" s="41" t="s">
        <v>78</v>
      </c>
      <c r="S20" s="46">
        <f>S18*12</f>
        <v>0</v>
      </c>
      <c r="T20" s="63"/>
      <c r="U20" s="63"/>
    </row>
    <row r="21" ht="15.0" customHeight="1">
      <c r="B21" s="98" t="s">
        <v>79</v>
      </c>
      <c r="C21" s="99">
        <f t="shared" ref="C21:F21" si="3">SUM(C16:C20)</f>
        <v>4737487</v>
      </c>
      <c r="D21" s="99">
        <f t="shared" si="3"/>
        <v>4737487</v>
      </c>
      <c r="E21" s="102">
        <f t="shared" si="3"/>
        <v>4737487</v>
      </c>
      <c r="F21" s="103">
        <f t="shared" si="3"/>
        <v>4737487</v>
      </c>
      <c r="G21" s="34">
        <f>SUM(C21:E21)</f>
        <v>14212461</v>
      </c>
      <c r="K21" s="77"/>
      <c r="L21" s="104"/>
      <c r="M21" s="107">
        <v>420355.0</v>
      </c>
    </row>
    <row r="22" ht="15.0" customHeight="1">
      <c r="C22" s="12"/>
      <c r="D22" s="12"/>
      <c r="E22" s="12"/>
      <c r="F22" s="12"/>
      <c r="G22" s="64" t="s">
        <v>80</v>
      </c>
      <c r="L22" s="106"/>
      <c r="M22" s="108"/>
    </row>
    <row r="23" ht="15.0" customHeight="1">
      <c r="B23" s="109" t="s">
        <v>81</v>
      </c>
      <c r="C23" s="110">
        <f t="shared" ref="C23:G23" si="4">+C13-C21</f>
        <v>262513</v>
      </c>
      <c r="D23" s="110">
        <f t="shared" si="4"/>
        <v>262513</v>
      </c>
      <c r="E23" s="112">
        <f t="shared" si="4"/>
        <v>262513</v>
      </c>
      <c r="F23" s="113">
        <f t="shared" si="4"/>
        <v>262513</v>
      </c>
      <c r="G23" s="34">
        <f t="shared" si="4"/>
        <v>5787539</v>
      </c>
      <c r="L23" s="114"/>
      <c r="M23" s="115"/>
    </row>
    <row r="24" ht="15.75" customHeight="1">
      <c r="L24" s="116"/>
      <c r="M24" s="116"/>
    </row>
    <row r="25" ht="15.75" customHeight="1">
      <c r="B25" s="117" t="s">
        <v>74</v>
      </c>
      <c r="C25" s="118" t="s">
        <v>82</v>
      </c>
      <c r="D25" s="13"/>
      <c r="E25" s="13"/>
      <c r="F25" s="14"/>
      <c r="G25" s="120" t="s">
        <v>83</v>
      </c>
      <c r="L25" s="116"/>
      <c r="M25" s="116"/>
    </row>
    <row r="26" ht="15.75" customHeight="1">
      <c r="B26" s="121"/>
      <c r="C26" s="118" t="s">
        <v>84</v>
      </c>
      <c r="D26" s="13"/>
      <c r="E26" s="13"/>
      <c r="F26" s="14"/>
      <c r="G26" s="120">
        <v>43200.0</v>
      </c>
      <c r="L26" s="116"/>
      <c r="M26" s="116"/>
    </row>
    <row r="27" ht="15.75" customHeight="1">
      <c r="B27" s="121"/>
      <c r="C27" s="118" t="s">
        <v>85</v>
      </c>
      <c r="D27" s="13"/>
      <c r="E27" s="13"/>
      <c r="F27" s="14"/>
      <c r="G27" s="120" t="s">
        <v>86</v>
      </c>
      <c r="L27" s="116"/>
      <c r="M27" s="116"/>
    </row>
    <row r="28" ht="15.75" customHeight="1">
      <c r="B28" s="121"/>
      <c r="C28" s="122" t="s">
        <v>87</v>
      </c>
      <c r="D28" s="13"/>
      <c r="E28" s="13"/>
      <c r="F28" s="14"/>
      <c r="G28" s="120" t="s">
        <v>86</v>
      </c>
      <c r="L28" s="116"/>
      <c r="M28" s="116"/>
    </row>
    <row r="29" ht="15.75" customHeight="1">
      <c r="B29" s="121"/>
      <c r="C29" s="122" t="s">
        <v>88</v>
      </c>
      <c r="D29" s="13"/>
      <c r="E29" s="13"/>
      <c r="F29" s="14"/>
      <c r="G29" s="124" t="s">
        <v>86</v>
      </c>
      <c r="L29" s="116"/>
      <c r="M29" s="116"/>
    </row>
    <row r="30" ht="15.75" customHeight="1">
      <c r="B30" s="121"/>
      <c r="C30" s="125" t="s">
        <v>90</v>
      </c>
      <c r="D30" s="127"/>
      <c r="E30" s="127"/>
      <c r="F30" s="128"/>
      <c r="G30" s="129">
        <v>0.0</v>
      </c>
      <c r="L30" s="116"/>
      <c r="M30" s="116"/>
    </row>
    <row r="31" ht="15.75" customHeight="1">
      <c r="B31" s="121"/>
      <c r="C31" s="125" t="s">
        <v>92</v>
      </c>
      <c r="D31" s="127"/>
      <c r="E31" s="127"/>
      <c r="F31" s="128"/>
      <c r="G31" s="124">
        <v>0.0</v>
      </c>
      <c r="L31" s="116"/>
      <c r="M31" s="116"/>
    </row>
    <row r="32" ht="15.75" customHeight="1">
      <c r="B32" s="121"/>
      <c r="C32" s="122"/>
      <c r="D32" s="13"/>
      <c r="E32" s="13"/>
      <c r="F32" s="14"/>
      <c r="G32" s="126"/>
      <c r="L32" s="116"/>
      <c r="M32" s="116"/>
    </row>
    <row r="33" ht="15.75" customHeight="1">
      <c r="B33" s="121"/>
      <c r="C33" s="122"/>
      <c r="D33" s="13"/>
      <c r="E33" s="13"/>
      <c r="F33" s="14"/>
      <c r="G33" s="126"/>
      <c r="L33" s="116"/>
      <c r="M33" s="116"/>
    </row>
    <row r="34" ht="15.75" customHeight="1">
      <c r="B34" s="130"/>
      <c r="C34" s="131"/>
      <c r="D34" s="13"/>
      <c r="E34" s="13"/>
      <c r="F34" s="14"/>
      <c r="G34" s="126"/>
      <c r="L34" s="116"/>
      <c r="M34" s="116"/>
    </row>
    <row r="35" ht="15.75" customHeight="1">
      <c r="C35" s="132" t="s">
        <v>93</v>
      </c>
      <c r="D35" s="133"/>
      <c r="E35" s="133"/>
      <c r="F35" s="134"/>
      <c r="G35" s="135">
        <f>SUM(G25:G34)</f>
        <v>43200</v>
      </c>
      <c r="L35" s="116"/>
      <c r="M35" s="116"/>
    </row>
    <row r="36" ht="15.75" customHeight="1">
      <c r="C36" s="136"/>
      <c r="D36" s="136"/>
      <c r="E36" s="136"/>
      <c r="F36" s="136"/>
      <c r="G36" s="137"/>
      <c r="L36" s="116"/>
      <c r="M36" s="116"/>
    </row>
    <row r="37" ht="15.75" customHeight="1">
      <c r="C37" s="136"/>
      <c r="D37" s="136"/>
      <c r="E37" s="136"/>
      <c r="F37" s="136"/>
      <c r="G37" s="137"/>
      <c r="L37" s="116"/>
      <c r="M37" s="116"/>
    </row>
    <row r="38" ht="15.75" customHeight="1">
      <c r="C38" s="136"/>
      <c r="D38" s="136"/>
      <c r="E38" s="136"/>
      <c r="F38" s="136"/>
      <c r="G38" s="137"/>
      <c r="L38" s="116"/>
      <c r="M38" s="116"/>
    </row>
    <row r="39" ht="15.75" customHeight="1">
      <c r="B39" s="138" t="s">
        <v>70</v>
      </c>
      <c r="C39" s="139" t="s">
        <v>94</v>
      </c>
      <c r="D39" s="13"/>
      <c r="E39" s="13"/>
      <c r="F39" s="14"/>
      <c r="G39" s="141">
        <v>47006.0</v>
      </c>
      <c r="L39" s="116"/>
      <c r="M39" s="116"/>
    </row>
    <row r="40" ht="15.75" customHeight="1">
      <c r="B40" s="121"/>
      <c r="C40" s="142" t="s">
        <v>95</v>
      </c>
      <c r="D40" s="13"/>
      <c r="E40" s="13"/>
      <c r="F40" s="14"/>
      <c r="G40" s="143">
        <v>17452.0</v>
      </c>
      <c r="L40" s="116"/>
      <c r="M40" s="116"/>
    </row>
    <row r="41" ht="15.75" customHeight="1">
      <c r="B41" s="121"/>
      <c r="C41" s="142" t="s">
        <v>96</v>
      </c>
      <c r="D41" s="13"/>
      <c r="E41" s="13"/>
      <c r="F41" s="14"/>
      <c r="G41" s="145">
        <v>29829.0</v>
      </c>
    </row>
    <row r="42" ht="15.75" customHeight="1">
      <c r="B42" s="121"/>
      <c r="C42" s="122"/>
      <c r="D42" s="13"/>
      <c r="E42" s="13"/>
      <c r="F42" s="14"/>
      <c r="G42" s="147"/>
    </row>
    <row r="43" ht="15.75" customHeight="1">
      <c r="B43" s="121"/>
      <c r="C43" s="122"/>
      <c r="D43" s="13"/>
      <c r="E43" s="13"/>
      <c r="F43" s="14"/>
      <c r="G43" s="149"/>
    </row>
    <row r="44" ht="15.75" customHeight="1">
      <c r="B44" s="121"/>
      <c r="C44" s="122"/>
      <c r="D44" s="13"/>
      <c r="E44" s="13"/>
      <c r="F44" s="14"/>
      <c r="G44" s="147"/>
    </row>
    <row r="45" ht="15.75" customHeight="1">
      <c r="B45" s="130"/>
      <c r="C45" s="122"/>
      <c r="D45" s="13"/>
      <c r="E45" s="13"/>
      <c r="F45" s="14"/>
      <c r="G45" s="147"/>
    </row>
    <row r="46" ht="15.75" customHeight="1">
      <c r="C46" s="150" t="s">
        <v>97</v>
      </c>
      <c r="D46" s="13"/>
      <c r="E46" s="13"/>
      <c r="F46" s="14"/>
      <c r="G46" s="151">
        <f>SUM(G39:G45)</f>
        <v>94287</v>
      </c>
    </row>
    <row r="47" ht="15.75" customHeight="1"/>
    <row r="48" ht="15.75" customHeight="1">
      <c r="B48" s="152" t="s">
        <v>98</v>
      </c>
      <c r="C48" s="153" t="s">
        <v>99</v>
      </c>
    </row>
    <row r="49" ht="15.75" customHeight="1">
      <c r="B49" s="152" t="s">
        <v>100</v>
      </c>
      <c r="C49" s="153" t="s">
        <v>101</v>
      </c>
    </row>
    <row r="50" ht="15.75" customHeight="1">
      <c r="C50" s="154"/>
    </row>
    <row r="51" ht="15.75" customHeight="1">
      <c r="B51" s="155" t="s">
        <v>102</v>
      </c>
    </row>
    <row r="52" ht="15.75" customHeight="1">
      <c r="B52" s="156"/>
    </row>
    <row r="53" ht="15.75" customHeight="1">
      <c r="B53" s="157" t="s">
        <v>103</v>
      </c>
    </row>
    <row r="54" ht="15.75" customHeight="1">
      <c r="B54" s="157" t="s">
        <v>104</v>
      </c>
    </row>
    <row r="55" ht="15.75" customHeight="1">
      <c r="B55" s="157" t="s">
        <v>105</v>
      </c>
    </row>
    <row r="56" ht="15.75" customHeight="1">
      <c r="B56" s="156"/>
    </row>
    <row r="57" ht="15.75" customHeight="1">
      <c r="B57" s="157" t="s">
        <v>106</v>
      </c>
    </row>
    <row r="58" ht="15.75" customHeight="1">
      <c r="B58" s="156"/>
    </row>
    <row r="59" ht="15.75" customHeight="1">
      <c r="B59" s="158" t="s">
        <v>107</v>
      </c>
    </row>
    <row r="60" ht="15.75" customHeight="1">
      <c r="B60" s="156"/>
    </row>
    <row r="61" ht="15.75" customHeight="1">
      <c r="B61" s="157" t="s">
        <v>108</v>
      </c>
    </row>
    <row r="62" ht="15.75" customHeight="1">
      <c r="B62" s="156"/>
    </row>
    <row r="63" ht="15.75" customHeight="1">
      <c r="B63" s="157" t="s">
        <v>109</v>
      </c>
    </row>
    <row r="64" ht="15.75" customHeight="1">
      <c r="B64" s="156"/>
    </row>
    <row r="65" ht="15.75" customHeight="1">
      <c r="B65" s="157" t="s">
        <v>106</v>
      </c>
    </row>
    <row r="66" ht="15.75" customHeight="1">
      <c r="B66" s="156"/>
    </row>
    <row r="67" ht="15.75" customHeight="1">
      <c r="B67" s="158" t="s">
        <v>110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1:J1"/>
    <mergeCell ref="B2:J2"/>
    <mergeCell ref="B4:G4"/>
    <mergeCell ref="I5:J5"/>
    <mergeCell ref="L5:M5"/>
    <mergeCell ref="Q5:U5"/>
    <mergeCell ref="C5:F5"/>
    <mergeCell ref="C28:F28"/>
    <mergeCell ref="C29:F29"/>
    <mergeCell ref="Q16:U16"/>
    <mergeCell ref="L19:M19"/>
    <mergeCell ref="B25:B34"/>
    <mergeCell ref="C25:F25"/>
    <mergeCell ref="C26:F26"/>
    <mergeCell ref="C27:F27"/>
    <mergeCell ref="C34:F34"/>
    <mergeCell ref="B15:F15"/>
    <mergeCell ref="C42:F42"/>
    <mergeCell ref="C43:F43"/>
    <mergeCell ref="C44:F44"/>
    <mergeCell ref="C45:F45"/>
    <mergeCell ref="C46:F46"/>
    <mergeCell ref="C48:F48"/>
    <mergeCell ref="C49:F49"/>
    <mergeCell ref="C32:F32"/>
    <mergeCell ref="C33:F33"/>
    <mergeCell ref="C35:F35"/>
    <mergeCell ref="B39:B45"/>
    <mergeCell ref="C39:F39"/>
    <mergeCell ref="C40:F40"/>
    <mergeCell ref="C41:F41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4.29"/>
    <col customWidth="1" min="4" max="4" width="17.57"/>
    <col customWidth="1" min="5" max="6" width="20.14"/>
    <col customWidth="1" min="7" max="7" width="12.86"/>
    <col customWidth="1" min="8" max="8" width="14.29"/>
    <col customWidth="1" min="10" max="10" width="14.29"/>
    <col customWidth="1" min="11" max="11" width="13.71"/>
    <col customWidth="1" min="12" max="12" width="12.14"/>
    <col customWidth="1" min="13" max="13" width="24.14"/>
    <col customWidth="1" min="14" max="14" width="12.43"/>
    <col customWidth="1" min="15" max="15" width="4.86"/>
    <col customWidth="1" min="16" max="17" width="10.71"/>
    <col customWidth="1" min="18" max="18" width="32.57"/>
    <col customWidth="1" min="19" max="19" width="19.0"/>
    <col customWidth="1" min="20" max="20" width="17.14"/>
    <col customWidth="1" min="21" max="21" width="11.57"/>
    <col customWidth="1" min="22" max="22" width="6.0"/>
  </cols>
  <sheetData>
    <row r="1" ht="15.0" customHeight="1">
      <c r="B1" s="1" t="s">
        <v>0</v>
      </c>
    </row>
    <row r="2" ht="15.0" customHeight="1">
      <c r="B2" s="1" t="s">
        <v>1</v>
      </c>
    </row>
    <row r="3" ht="15.0" customHeight="1">
      <c r="B3" s="1"/>
      <c r="C3" s="1"/>
      <c r="D3" s="1"/>
      <c r="E3" s="1"/>
      <c r="F3" s="1"/>
      <c r="G3" s="1"/>
      <c r="H3" s="1"/>
      <c r="I3" s="1"/>
      <c r="J3" s="1"/>
    </row>
    <row r="4" ht="15.0" customHeight="1">
      <c r="B4" s="2" t="s">
        <v>2</v>
      </c>
    </row>
    <row r="5" ht="15.0" customHeight="1">
      <c r="C5" s="3" t="s">
        <v>3</v>
      </c>
      <c r="D5" s="4"/>
      <c r="E5" s="4"/>
      <c r="F5" s="6"/>
      <c r="G5" s="2"/>
      <c r="H5" s="2"/>
      <c r="J5" s="7" t="s">
        <v>7</v>
      </c>
      <c r="K5" s="8"/>
      <c r="M5" s="7" t="s">
        <v>17</v>
      </c>
      <c r="N5" s="9"/>
      <c r="O5" s="2"/>
      <c r="R5" s="11" t="s">
        <v>19</v>
      </c>
      <c r="S5" s="13"/>
      <c r="T5" s="13"/>
      <c r="U5" s="13"/>
      <c r="V5" s="14"/>
    </row>
    <row r="6" ht="15.75" customHeight="1">
      <c r="C6" s="16" t="s">
        <v>4</v>
      </c>
      <c r="D6" s="18" t="s">
        <v>5</v>
      </c>
      <c r="E6" s="20" t="s">
        <v>6</v>
      </c>
      <c r="F6" s="21" t="s">
        <v>8</v>
      </c>
      <c r="G6" s="17"/>
      <c r="H6" s="17"/>
      <c r="J6" s="19" t="s">
        <v>22</v>
      </c>
      <c r="K6" s="24">
        <f>H21</f>
        <v>24213548</v>
      </c>
      <c r="L6" s="12"/>
      <c r="M6" s="23" t="s">
        <v>23</v>
      </c>
      <c r="N6" s="25">
        <f>(K13*-1)+(-N21)</f>
        <v>0</v>
      </c>
      <c r="R6" s="26" t="s">
        <v>26</v>
      </c>
      <c r="S6" s="27" t="s">
        <v>27</v>
      </c>
      <c r="T6" s="27" t="s">
        <v>28</v>
      </c>
      <c r="U6" s="28" t="s">
        <v>29</v>
      </c>
      <c r="V6" s="27" t="s">
        <v>30</v>
      </c>
    </row>
    <row r="7" ht="15.0" customHeight="1">
      <c r="B7" s="29" t="s">
        <v>31</v>
      </c>
      <c r="C7" s="31">
        <v>7000000.0</v>
      </c>
      <c r="D7" s="31">
        <v>7000000.0</v>
      </c>
      <c r="E7" s="31">
        <v>7000000.0</v>
      </c>
      <c r="F7" s="31">
        <v>7000000.0</v>
      </c>
      <c r="G7" s="34"/>
      <c r="H7" s="34"/>
      <c r="J7" s="35" t="s">
        <v>32</v>
      </c>
      <c r="K7" s="37">
        <v>0.5</v>
      </c>
      <c r="L7" s="12"/>
      <c r="M7" s="39" t="s">
        <v>35</v>
      </c>
      <c r="N7" s="43">
        <f>+C23</f>
        <v>946613</v>
      </c>
      <c r="R7" s="41" t="s">
        <v>37</v>
      </c>
      <c r="S7" s="41" t="s">
        <v>38</v>
      </c>
      <c r="T7" s="42">
        <v>1500000.0</v>
      </c>
      <c r="U7" s="46">
        <v>6100.0</v>
      </c>
      <c r="V7" s="41" t="s">
        <v>30</v>
      </c>
    </row>
    <row r="8" ht="15.0" customHeight="1">
      <c r="B8" s="45" t="s">
        <v>39</v>
      </c>
      <c r="C8" s="47">
        <v>0.0</v>
      </c>
      <c r="D8" s="47">
        <v>0.0</v>
      </c>
      <c r="E8" s="49">
        <v>0.0</v>
      </c>
      <c r="F8" s="50">
        <v>0.0</v>
      </c>
      <c r="G8" s="34"/>
      <c r="H8" s="34"/>
      <c r="J8" s="51" t="s">
        <v>40</v>
      </c>
      <c r="K8" s="53">
        <f>+K6*(1+K7)</f>
        <v>36320322</v>
      </c>
      <c r="L8" s="12"/>
      <c r="M8" s="39" t="s">
        <v>34</v>
      </c>
      <c r="N8" s="43">
        <f>+D23</f>
        <v>946613</v>
      </c>
      <c r="R8" s="41" t="s">
        <v>42</v>
      </c>
      <c r="S8" s="41" t="s">
        <v>43</v>
      </c>
      <c r="T8" s="42">
        <v>1400000.0</v>
      </c>
      <c r="U8" s="46">
        <v>5600.0</v>
      </c>
      <c r="V8" s="41" t="s">
        <v>30</v>
      </c>
    </row>
    <row r="9" ht="15.0" customHeight="1">
      <c r="B9" s="45" t="s">
        <v>44</v>
      </c>
      <c r="C9" s="47">
        <v>0.0</v>
      </c>
      <c r="D9" s="47">
        <v>0.0</v>
      </c>
      <c r="E9" s="49">
        <v>0.0</v>
      </c>
      <c r="F9" s="50">
        <v>0.0</v>
      </c>
      <c r="G9" s="34"/>
      <c r="H9" s="34"/>
      <c r="J9" s="35" t="s">
        <v>32</v>
      </c>
      <c r="K9" s="54">
        <f>+K8-K6</f>
        <v>12106774</v>
      </c>
      <c r="L9" s="12"/>
      <c r="M9" s="39" t="s">
        <v>41</v>
      </c>
      <c r="N9" s="43">
        <f>+F23</f>
        <v>946613</v>
      </c>
      <c r="R9" s="41" t="s">
        <v>46</v>
      </c>
      <c r="S9" s="41" t="s">
        <v>47</v>
      </c>
      <c r="T9" s="42">
        <v>1200000.0</v>
      </c>
      <c r="U9" s="46">
        <v>5000.0</v>
      </c>
      <c r="V9" s="41" t="s">
        <v>30</v>
      </c>
    </row>
    <row r="10" ht="15.0" customHeight="1">
      <c r="B10" s="55" t="s">
        <v>48</v>
      </c>
      <c r="C10" s="47">
        <v>0.0</v>
      </c>
      <c r="D10" s="47">
        <v>0.0</v>
      </c>
      <c r="E10" s="49">
        <v>0.0</v>
      </c>
      <c r="F10" s="50">
        <v>0.0</v>
      </c>
      <c r="G10" s="34"/>
      <c r="H10" s="34"/>
      <c r="J10" s="35"/>
      <c r="K10" s="54"/>
      <c r="L10" s="12"/>
      <c r="M10" s="39"/>
      <c r="N10" s="43"/>
      <c r="R10" s="41" t="s">
        <v>50</v>
      </c>
      <c r="S10" s="41" t="s">
        <v>47</v>
      </c>
      <c r="T10" s="56">
        <v>1200000.0</v>
      </c>
      <c r="U10" s="46">
        <v>5000.0</v>
      </c>
      <c r="V10" s="41" t="s">
        <v>30</v>
      </c>
    </row>
    <row r="11" ht="15.0" customHeight="1">
      <c r="B11" s="57" t="s">
        <v>51</v>
      </c>
      <c r="C11" s="58">
        <v>0.0</v>
      </c>
      <c r="D11" s="59">
        <v>0.0</v>
      </c>
      <c r="E11" s="61">
        <v>0.0</v>
      </c>
      <c r="F11" s="62">
        <v>0.0</v>
      </c>
      <c r="G11" s="34"/>
      <c r="H11" s="34"/>
      <c r="J11" s="35"/>
      <c r="K11" s="54"/>
      <c r="L11" s="12"/>
      <c r="M11" s="39"/>
      <c r="N11" s="43"/>
      <c r="R11" s="63"/>
      <c r="S11" s="63"/>
      <c r="T11" s="46">
        <v>0.0</v>
      </c>
      <c r="U11" s="63"/>
      <c r="V11" s="63"/>
    </row>
    <row r="12" ht="15.0" customHeight="1">
      <c r="B12" s="57" t="s">
        <v>52</v>
      </c>
      <c r="C12" s="58">
        <f>SUM(C7:C10)</f>
        <v>7000000</v>
      </c>
      <c r="D12" s="58">
        <f t="shared" ref="D12:F12" si="1">SUM(D7:D11)</f>
        <v>7000000</v>
      </c>
      <c r="E12" s="61">
        <f t="shared" si="1"/>
        <v>7000000</v>
      </c>
      <c r="F12" s="62">
        <f t="shared" si="1"/>
        <v>7000000</v>
      </c>
      <c r="H12" s="64" t="s">
        <v>2</v>
      </c>
      <c r="J12" s="35"/>
      <c r="K12" s="54"/>
      <c r="L12" s="12"/>
      <c r="M12" s="39"/>
      <c r="N12" s="43"/>
      <c r="R12" s="63"/>
      <c r="S12" s="41" t="s">
        <v>53</v>
      </c>
      <c r="T12" s="65">
        <f>SUM(T7:T11)</f>
        <v>5300000</v>
      </c>
      <c r="U12" s="66"/>
      <c r="V12" s="63"/>
    </row>
    <row r="13" ht="15.0" customHeight="1">
      <c r="B13" s="67" t="s">
        <v>54</v>
      </c>
      <c r="C13" s="68">
        <f>+C12</f>
        <v>7000000</v>
      </c>
      <c r="D13" s="69">
        <f t="shared" ref="D13:F13" si="2">D12</f>
        <v>7000000</v>
      </c>
      <c r="E13" s="70">
        <f t="shared" si="2"/>
        <v>7000000</v>
      </c>
      <c r="F13" s="71">
        <f t="shared" si="2"/>
        <v>7000000</v>
      </c>
      <c r="H13" s="34">
        <f>SUM(C13,D13,F13)</f>
        <v>21000000</v>
      </c>
      <c r="J13" s="72" t="s">
        <v>55</v>
      </c>
      <c r="K13" s="73">
        <v>0.0</v>
      </c>
      <c r="L13" s="12"/>
      <c r="M13" s="39"/>
      <c r="N13" s="39"/>
      <c r="R13" s="63"/>
      <c r="S13" s="41" t="s">
        <v>56</v>
      </c>
      <c r="T13" s="65">
        <f>8*U7</f>
        <v>48800</v>
      </c>
      <c r="U13" s="63"/>
      <c r="V13" s="63"/>
    </row>
    <row r="14" ht="15.0" customHeight="1">
      <c r="C14" s="12"/>
      <c r="D14" s="12"/>
      <c r="E14" s="12"/>
      <c r="F14" s="12"/>
      <c r="J14" s="75" t="s">
        <v>57</v>
      </c>
      <c r="K14" s="54">
        <v>12.0</v>
      </c>
      <c r="L14" s="12"/>
      <c r="M14" s="39" t="s">
        <v>58</v>
      </c>
      <c r="N14" s="76">
        <v>18.0</v>
      </c>
      <c r="O14" s="77">
        <f>+N14/100</f>
        <v>0.18</v>
      </c>
      <c r="R14" s="78"/>
      <c r="S14" s="41" t="s">
        <v>59</v>
      </c>
      <c r="T14" s="46">
        <f>T12*12</f>
        <v>63600000</v>
      </c>
      <c r="U14" s="63"/>
      <c r="V14" s="63"/>
    </row>
    <row r="15" ht="15.0" customHeight="1">
      <c r="B15" s="80" t="s">
        <v>60</v>
      </c>
      <c r="C15" s="82"/>
      <c r="D15" s="82"/>
      <c r="E15" s="82"/>
      <c r="F15" s="83"/>
      <c r="J15" s="75" t="s">
        <v>61</v>
      </c>
      <c r="K15" s="37">
        <f>N14/K14</f>
        <v>1.5</v>
      </c>
      <c r="L15" s="84"/>
      <c r="M15" s="39" t="s">
        <v>62</v>
      </c>
      <c r="N15" s="86">
        <f t="array" ref="N15">NPV(O14,C23,D23,F23)-K13</f>
        <v>2058195.021</v>
      </c>
      <c r="R15" s="63"/>
      <c r="S15" s="63"/>
      <c r="T15" s="63"/>
      <c r="U15" s="63"/>
      <c r="V15" s="63"/>
    </row>
    <row r="16" ht="15.0" customHeight="1">
      <c r="B16" s="88" t="s">
        <v>64</v>
      </c>
      <c r="C16" s="47">
        <v>0.0</v>
      </c>
      <c r="D16" s="47">
        <v>0.0</v>
      </c>
      <c r="E16" s="49">
        <v>0.0</v>
      </c>
      <c r="F16" s="50">
        <v>0.0</v>
      </c>
      <c r="J16" s="75" t="s">
        <v>65</v>
      </c>
      <c r="K16" s="54">
        <f>(K13/K14)*K15</f>
        <v>0</v>
      </c>
      <c r="L16" s="12"/>
      <c r="M16" s="39" t="s">
        <v>66</v>
      </c>
      <c r="N16" s="90">
        <f>IFERROR(IRR(N6:N9),0)*0</f>
        <v>0</v>
      </c>
      <c r="R16" s="11" t="s">
        <v>67</v>
      </c>
      <c r="S16" s="13"/>
      <c r="T16" s="13"/>
      <c r="U16" s="13"/>
      <c r="V16" s="14"/>
    </row>
    <row r="17" ht="15.0" customHeight="1">
      <c r="B17" s="88" t="s">
        <v>68</v>
      </c>
      <c r="C17" s="91">
        <v>5300000.0</v>
      </c>
      <c r="D17" s="91">
        <v>5300000.0</v>
      </c>
      <c r="E17" s="91">
        <v>5300000.0</v>
      </c>
      <c r="F17" s="92">
        <v>5300000.0</v>
      </c>
      <c r="J17" s="93" t="s">
        <v>69</v>
      </c>
      <c r="K17" s="95">
        <f>+K16*K14</f>
        <v>0</v>
      </c>
      <c r="L17" s="12"/>
      <c r="R17" s="26" t="s">
        <v>26</v>
      </c>
      <c r="S17" s="27" t="s">
        <v>27</v>
      </c>
      <c r="T17" s="27" t="s">
        <v>28</v>
      </c>
      <c r="U17" s="28" t="s">
        <v>29</v>
      </c>
      <c r="V17" s="27" t="s">
        <v>30</v>
      </c>
    </row>
    <row r="18" ht="15.0" customHeight="1">
      <c r="B18" s="88" t="s">
        <v>70</v>
      </c>
      <c r="C18" s="47">
        <f>H46</f>
        <v>94287</v>
      </c>
      <c r="D18" s="47">
        <f>H46</f>
        <v>94287</v>
      </c>
      <c r="E18" s="47">
        <f>H46</f>
        <v>94287</v>
      </c>
      <c r="F18" s="50">
        <f>H46</f>
        <v>94287</v>
      </c>
      <c r="R18" s="41"/>
      <c r="S18" s="41" t="s">
        <v>71</v>
      </c>
      <c r="T18" s="65">
        <v>0.0</v>
      </c>
      <c r="U18" s="46">
        <v>0.0</v>
      </c>
      <c r="V18" s="41" t="s">
        <v>30</v>
      </c>
    </row>
    <row r="19" ht="15.0" customHeight="1">
      <c r="B19" s="88" t="s">
        <v>72</v>
      </c>
      <c r="C19" s="47">
        <v>0.0</v>
      </c>
      <c r="D19" s="47">
        <v>0.0</v>
      </c>
      <c r="E19" s="49">
        <v>0.0</v>
      </c>
      <c r="F19" s="50">
        <v>0.0</v>
      </c>
      <c r="M19" s="7" t="s">
        <v>73</v>
      </c>
      <c r="N19" s="8"/>
      <c r="R19" s="63"/>
      <c r="S19" s="63"/>
      <c r="T19" s="63"/>
      <c r="U19" s="63"/>
      <c r="V19" s="63"/>
    </row>
    <row r="20" ht="15.0" customHeight="1">
      <c r="B20" s="88" t="s">
        <v>74</v>
      </c>
      <c r="C20" s="47">
        <v>659100.0</v>
      </c>
      <c r="D20" s="47">
        <f>H35</f>
        <v>659100</v>
      </c>
      <c r="E20" s="49">
        <f>H35</f>
        <v>659100</v>
      </c>
      <c r="F20" s="50">
        <f>H35</f>
        <v>659100</v>
      </c>
      <c r="H20" s="64" t="s">
        <v>75</v>
      </c>
      <c r="L20" s="12"/>
      <c r="M20" s="96" t="s">
        <v>76</v>
      </c>
      <c r="N20" s="97" t="s">
        <v>77</v>
      </c>
      <c r="R20" s="63"/>
      <c r="S20" s="41" t="s">
        <v>78</v>
      </c>
      <c r="T20" s="46">
        <f>T18*12</f>
        <v>0</v>
      </c>
      <c r="U20" s="63"/>
      <c r="V20" s="63"/>
    </row>
    <row r="21" ht="15.0" customHeight="1">
      <c r="B21" s="98" t="s">
        <v>79</v>
      </c>
      <c r="C21" s="99">
        <f t="shared" ref="C21:F21" si="3">SUM(C16:C20)</f>
        <v>6053387</v>
      </c>
      <c r="D21" s="99">
        <f t="shared" si="3"/>
        <v>6053387</v>
      </c>
      <c r="E21" s="100">
        <f t="shared" si="3"/>
        <v>6053387</v>
      </c>
      <c r="F21" s="101">
        <f t="shared" si="3"/>
        <v>6053387</v>
      </c>
      <c r="H21" s="34">
        <f>SUM(C21:F21)</f>
        <v>24213548</v>
      </c>
      <c r="L21" s="77"/>
      <c r="M21" s="104"/>
      <c r="N21" s="105">
        <v>0.0</v>
      </c>
    </row>
    <row r="22" ht="15.0" customHeight="1">
      <c r="C22" s="12"/>
      <c r="D22" s="12"/>
      <c r="E22" s="12"/>
      <c r="F22" s="12"/>
      <c r="H22" s="64" t="s">
        <v>80</v>
      </c>
      <c r="M22" s="106"/>
      <c r="N22" s="108"/>
    </row>
    <row r="23" ht="15.0" customHeight="1">
      <c r="B23" s="109" t="s">
        <v>81</v>
      </c>
      <c r="C23" s="110">
        <f t="shared" ref="C23:D23" si="4">+C13-C21</f>
        <v>946613</v>
      </c>
      <c r="D23" s="110">
        <f t="shared" si="4"/>
        <v>946613</v>
      </c>
      <c r="E23" s="111">
        <v>0.0</v>
      </c>
      <c r="F23" s="113">
        <f>+F13-F21</f>
        <v>946613</v>
      </c>
      <c r="H23" s="34">
        <f>+H13-H21</f>
        <v>-3213548</v>
      </c>
      <c r="M23" s="114"/>
      <c r="N23" s="115"/>
    </row>
    <row r="24" ht="15.75" customHeight="1">
      <c r="M24" s="116"/>
      <c r="N24" s="116"/>
    </row>
    <row r="25" ht="15.75" customHeight="1">
      <c r="B25" s="117" t="s">
        <v>74</v>
      </c>
      <c r="C25" s="118" t="s">
        <v>82</v>
      </c>
      <c r="D25" s="13"/>
      <c r="E25" s="13"/>
      <c r="F25" s="13"/>
      <c r="G25" s="14"/>
      <c r="H25" s="119">
        <v>11900.0</v>
      </c>
      <c r="M25" s="116"/>
      <c r="N25" s="116"/>
    </row>
    <row r="26" ht="15.75" customHeight="1">
      <c r="B26" s="121"/>
      <c r="C26" s="118" t="s">
        <v>84</v>
      </c>
      <c r="D26" s="13"/>
      <c r="E26" s="13"/>
      <c r="F26" s="13"/>
      <c r="G26" s="14"/>
      <c r="H26" s="119">
        <v>77200.0</v>
      </c>
      <c r="M26" s="116"/>
      <c r="N26" s="116"/>
    </row>
    <row r="27" ht="15.75" customHeight="1">
      <c r="B27" s="121"/>
      <c r="C27" s="118" t="s">
        <v>85</v>
      </c>
      <c r="D27" s="13"/>
      <c r="E27" s="13"/>
      <c r="F27" s="13"/>
      <c r="G27" s="14"/>
      <c r="H27" s="119">
        <v>250000.0</v>
      </c>
      <c r="M27" s="116"/>
      <c r="N27" s="116"/>
    </row>
    <row r="28" ht="15.75" customHeight="1">
      <c r="B28" s="121"/>
      <c r="C28" s="122" t="s">
        <v>87</v>
      </c>
      <c r="D28" s="13"/>
      <c r="E28" s="13"/>
      <c r="F28" s="13"/>
      <c r="G28" s="14"/>
      <c r="H28" s="119">
        <v>150000.0</v>
      </c>
      <c r="M28" s="116"/>
      <c r="N28" s="116"/>
    </row>
    <row r="29" ht="15.75" customHeight="1">
      <c r="B29" s="121"/>
      <c r="C29" s="122" t="s">
        <v>88</v>
      </c>
      <c r="D29" s="13"/>
      <c r="E29" s="13"/>
      <c r="F29" s="13"/>
      <c r="G29" s="14"/>
      <c r="H29" s="123">
        <v>0.0</v>
      </c>
      <c r="M29" s="116"/>
      <c r="N29" s="116"/>
    </row>
    <row r="30" ht="15.75" customHeight="1">
      <c r="B30" s="121"/>
      <c r="C30" s="122" t="s">
        <v>89</v>
      </c>
      <c r="D30" s="13"/>
      <c r="E30" s="13"/>
      <c r="F30" s="13"/>
      <c r="G30" s="14"/>
      <c r="H30" s="126">
        <v>100000.0</v>
      </c>
      <c r="M30" s="116"/>
      <c r="N30" s="116"/>
    </row>
    <row r="31" ht="15.75" customHeight="1">
      <c r="B31" s="121"/>
      <c r="C31" s="122" t="s">
        <v>91</v>
      </c>
      <c r="D31" s="13"/>
      <c r="E31" s="13"/>
      <c r="F31" s="13"/>
      <c r="G31" s="14"/>
      <c r="H31" s="123">
        <v>70000.0</v>
      </c>
      <c r="M31" s="116"/>
      <c r="N31" s="116"/>
    </row>
    <row r="32" ht="15.75" customHeight="1">
      <c r="B32" s="121"/>
      <c r="C32" s="122"/>
      <c r="D32" s="13"/>
      <c r="E32" s="13"/>
      <c r="F32" s="13"/>
      <c r="G32" s="14"/>
      <c r="H32" s="126"/>
      <c r="M32" s="116"/>
      <c r="N32" s="116"/>
    </row>
    <row r="33" ht="15.75" customHeight="1">
      <c r="B33" s="121"/>
      <c r="C33" s="122"/>
      <c r="D33" s="13"/>
      <c r="E33" s="13"/>
      <c r="F33" s="13"/>
      <c r="G33" s="14"/>
      <c r="H33" s="126"/>
      <c r="M33" s="116"/>
      <c r="N33" s="116"/>
    </row>
    <row r="34" ht="15.75" customHeight="1">
      <c r="B34" s="130"/>
      <c r="C34" s="131"/>
      <c r="D34" s="13"/>
      <c r="E34" s="13"/>
      <c r="F34" s="13"/>
      <c r="G34" s="14"/>
      <c r="H34" s="126"/>
      <c r="M34" s="116"/>
      <c r="N34" s="116"/>
    </row>
    <row r="35" ht="15.75" customHeight="1">
      <c r="C35" s="132" t="s">
        <v>93</v>
      </c>
      <c r="D35" s="133"/>
      <c r="E35" s="133"/>
      <c r="F35" s="133"/>
      <c r="G35" s="134"/>
      <c r="H35" s="135">
        <f>SUM(H25:H34)</f>
        <v>659100</v>
      </c>
      <c r="M35" s="116"/>
      <c r="N35" s="116"/>
    </row>
    <row r="36" ht="15.75" customHeight="1">
      <c r="C36" s="136"/>
      <c r="D36" s="136"/>
      <c r="E36" s="136"/>
      <c r="F36" s="136"/>
      <c r="G36" s="136"/>
      <c r="H36" s="137"/>
      <c r="M36" s="116"/>
      <c r="N36" s="116"/>
    </row>
    <row r="37" ht="15.75" customHeight="1">
      <c r="C37" s="136"/>
      <c r="D37" s="136"/>
      <c r="E37" s="136"/>
      <c r="F37" s="136"/>
      <c r="G37" s="136"/>
      <c r="H37" s="137"/>
      <c r="M37" s="116"/>
      <c r="N37" s="116"/>
    </row>
    <row r="38" ht="15.75" customHeight="1">
      <c r="C38" s="136"/>
      <c r="D38" s="136"/>
      <c r="E38" s="136"/>
      <c r="F38" s="136"/>
      <c r="G38" s="136"/>
      <c r="H38" s="137"/>
      <c r="M38" s="116"/>
      <c r="N38" s="116"/>
    </row>
    <row r="39" ht="15.75" customHeight="1">
      <c r="B39" s="138" t="s">
        <v>70</v>
      </c>
      <c r="C39" s="139" t="s">
        <v>94</v>
      </c>
      <c r="D39" s="13"/>
      <c r="E39" s="13"/>
      <c r="F39" s="13"/>
      <c r="G39" s="14"/>
      <c r="H39" s="140">
        <v>47006.0</v>
      </c>
      <c r="M39" s="116"/>
      <c r="N39" s="116"/>
    </row>
    <row r="40" ht="15.75" customHeight="1">
      <c r="B40" s="121"/>
      <c r="C40" s="142" t="s">
        <v>95</v>
      </c>
      <c r="D40" s="13"/>
      <c r="E40" s="13"/>
      <c r="F40" s="13"/>
      <c r="G40" s="14"/>
      <c r="H40" s="140">
        <v>17452.0</v>
      </c>
      <c r="M40" s="116"/>
      <c r="N40" s="116"/>
    </row>
    <row r="41" ht="15.75" customHeight="1">
      <c r="B41" s="121"/>
      <c r="C41" s="142" t="s">
        <v>96</v>
      </c>
      <c r="D41" s="13"/>
      <c r="E41" s="13"/>
      <c r="F41" s="13"/>
      <c r="G41" s="14"/>
      <c r="H41" s="144">
        <v>29829.0</v>
      </c>
    </row>
    <row r="42" ht="15.75" customHeight="1">
      <c r="B42" s="121"/>
      <c r="C42" s="122"/>
      <c r="D42" s="13"/>
      <c r="E42" s="13"/>
      <c r="F42" s="13"/>
      <c r="G42" s="14"/>
      <c r="H42" s="146"/>
    </row>
    <row r="43" ht="15.75" customHeight="1">
      <c r="B43" s="121"/>
      <c r="C43" s="122"/>
      <c r="D43" s="13"/>
      <c r="E43" s="13"/>
      <c r="F43" s="13"/>
      <c r="G43" s="14"/>
      <c r="H43" s="148"/>
    </row>
    <row r="44" ht="15.75" customHeight="1">
      <c r="B44" s="121"/>
      <c r="C44" s="122"/>
      <c r="D44" s="13"/>
      <c r="E44" s="13"/>
      <c r="F44" s="13"/>
      <c r="G44" s="14"/>
      <c r="H44" s="146"/>
    </row>
    <row r="45" ht="15.75" customHeight="1">
      <c r="B45" s="130"/>
      <c r="C45" s="122"/>
      <c r="D45" s="13"/>
      <c r="E45" s="13"/>
      <c r="F45" s="13"/>
      <c r="G45" s="14"/>
      <c r="H45" s="146"/>
    </row>
    <row r="46" ht="15.75" customHeight="1">
      <c r="C46" s="150" t="s">
        <v>97</v>
      </c>
      <c r="D46" s="13"/>
      <c r="E46" s="13"/>
      <c r="F46" s="13"/>
      <c r="G46" s="14"/>
      <c r="H46" s="151">
        <f>SUM(H39:H45)</f>
        <v>94287</v>
      </c>
    </row>
    <row r="47" ht="15.75" customHeight="1"/>
    <row r="48" ht="15.75" customHeight="1">
      <c r="B48" s="152" t="s">
        <v>98</v>
      </c>
      <c r="C48" s="153" t="s">
        <v>99</v>
      </c>
    </row>
    <row r="49" ht="15.75" customHeight="1">
      <c r="B49" s="152" t="s">
        <v>100</v>
      </c>
      <c r="C49" s="153" t="s">
        <v>101</v>
      </c>
    </row>
    <row r="50" ht="15.75" customHeight="1">
      <c r="C50" s="15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K1"/>
    <mergeCell ref="B2:K2"/>
    <mergeCell ref="B4:H4"/>
    <mergeCell ref="C5:F5"/>
    <mergeCell ref="J5:K5"/>
    <mergeCell ref="M5:N5"/>
    <mergeCell ref="R5:V5"/>
    <mergeCell ref="C28:G28"/>
    <mergeCell ref="C29:G29"/>
    <mergeCell ref="C30:G30"/>
    <mergeCell ref="C31:G31"/>
    <mergeCell ref="B15:F15"/>
    <mergeCell ref="R16:V16"/>
    <mergeCell ref="M19:N19"/>
    <mergeCell ref="B25:B34"/>
    <mergeCell ref="C25:G25"/>
    <mergeCell ref="C26:G26"/>
    <mergeCell ref="C27:G27"/>
    <mergeCell ref="C34:G34"/>
    <mergeCell ref="C42:G42"/>
    <mergeCell ref="C43:G43"/>
    <mergeCell ref="C44:G44"/>
    <mergeCell ref="C45:G45"/>
    <mergeCell ref="C46:G46"/>
    <mergeCell ref="C48:G48"/>
    <mergeCell ref="C49:G49"/>
    <mergeCell ref="C32:G32"/>
    <mergeCell ref="C33:G33"/>
    <mergeCell ref="C35:G35"/>
    <mergeCell ref="B39:B45"/>
    <mergeCell ref="C39:G39"/>
    <mergeCell ref="C40:G40"/>
    <mergeCell ref="C41:G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4.29"/>
    <col customWidth="1" min="4" max="4" width="17.57"/>
    <col customWidth="1" min="5" max="6" width="20.14"/>
    <col customWidth="1" min="7" max="7" width="12.86"/>
    <col customWidth="1" min="8" max="8" width="14.29"/>
    <col customWidth="1" min="10" max="10" width="14.29"/>
    <col customWidth="1" min="11" max="11" width="13.71"/>
    <col customWidth="1" min="12" max="12" width="12.14"/>
    <col customWidth="1" min="13" max="13" width="24.14"/>
    <col customWidth="1" min="14" max="14" width="12.43"/>
    <col customWidth="1" min="15" max="15" width="4.86"/>
    <col customWidth="1" min="16" max="17" width="10.71"/>
    <col customWidth="1" min="18" max="18" width="32.57"/>
    <col customWidth="1" min="19" max="19" width="19.0"/>
    <col customWidth="1" min="20" max="20" width="17.14"/>
    <col customWidth="1" min="21" max="21" width="11.57"/>
    <col customWidth="1" min="22" max="22" width="6.0"/>
  </cols>
  <sheetData>
    <row r="1" ht="15.0" customHeight="1">
      <c r="B1" s="1" t="s">
        <v>0</v>
      </c>
    </row>
    <row r="2" ht="15.0" customHeight="1">
      <c r="B2" s="1" t="s">
        <v>1</v>
      </c>
    </row>
    <row r="3" ht="15.0" customHeight="1">
      <c r="B3" s="1"/>
      <c r="C3" s="1"/>
      <c r="D3" s="1"/>
      <c r="E3" s="1"/>
      <c r="F3" s="1"/>
      <c r="G3" s="1"/>
      <c r="H3" s="1"/>
      <c r="I3" s="1"/>
      <c r="J3" s="1"/>
    </row>
    <row r="4" ht="15.0" customHeight="1">
      <c r="B4" s="2" t="s">
        <v>2</v>
      </c>
    </row>
    <row r="5" ht="15.0" customHeight="1">
      <c r="C5" s="3" t="s">
        <v>3</v>
      </c>
      <c r="D5" s="4"/>
      <c r="E5" s="4"/>
      <c r="F5" s="6"/>
      <c r="G5" s="2"/>
      <c r="H5" s="2"/>
      <c r="J5" s="7" t="s">
        <v>7</v>
      </c>
      <c r="K5" s="8"/>
      <c r="M5" s="7" t="s">
        <v>17</v>
      </c>
      <c r="N5" s="9"/>
      <c r="O5" s="2"/>
      <c r="R5" s="11" t="s">
        <v>19</v>
      </c>
      <c r="S5" s="13"/>
      <c r="T5" s="13"/>
      <c r="U5" s="13"/>
      <c r="V5" s="14"/>
    </row>
    <row r="6" ht="15.75" customHeight="1">
      <c r="C6" s="16" t="s">
        <v>4</v>
      </c>
      <c r="D6" s="18" t="s">
        <v>5</v>
      </c>
      <c r="E6" s="20" t="s">
        <v>6</v>
      </c>
      <c r="F6" s="21" t="s">
        <v>8</v>
      </c>
      <c r="G6" s="17"/>
      <c r="H6" s="17"/>
      <c r="J6" s="19" t="s">
        <v>22</v>
      </c>
      <c r="K6" s="24">
        <f>H21</f>
        <v>34733548</v>
      </c>
      <c r="L6" s="12"/>
      <c r="M6" s="23" t="s">
        <v>23</v>
      </c>
      <c r="N6" s="25">
        <f>(K13*-1)+(-N21)</f>
        <v>0</v>
      </c>
      <c r="R6" s="26" t="s">
        <v>26</v>
      </c>
      <c r="S6" s="27" t="s">
        <v>27</v>
      </c>
      <c r="T6" s="27" t="s">
        <v>28</v>
      </c>
      <c r="U6" s="28" t="s">
        <v>29</v>
      </c>
      <c r="V6" s="27" t="s">
        <v>30</v>
      </c>
    </row>
    <row r="7" ht="15.0" customHeight="1">
      <c r="B7" s="29" t="s">
        <v>31</v>
      </c>
      <c r="C7" s="31">
        <v>1.0E7</v>
      </c>
      <c r="D7" s="31">
        <v>1.0E7</v>
      </c>
      <c r="E7" s="32">
        <v>1.0E7</v>
      </c>
      <c r="F7" s="33">
        <v>9000000.0</v>
      </c>
      <c r="G7" s="34"/>
      <c r="H7" s="34"/>
      <c r="J7" s="35" t="s">
        <v>32</v>
      </c>
      <c r="K7" s="37">
        <v>0.5</v>
      </c>
      <c r="L7" s="12"/>
      <c r="M7" s="39" t="s">
        <v>35</v>
      </c>
      <c r="N7" s="43">
        <f>+C23</f>
        <v>1316613</v>
      </c>
      <c r="R7" s="41" t="s">
        <v>37</v>
      </c>
      <c r="S7" s="41" t="s">
        <v>38</v>
      </c>
      <c r="T7" s="42">
        <v>2500000.0</v>
      </c>
      <c r="U7" s="46">
        <v>6100.0</v>
      </c>
      <c r="V7" s="41" t="s">
        <v>30</v>
      </c>
    </row>
    <row r="8" ht="15.0" customHeight="1">
      <c r="B8" s="45" t="s">
        <v>39</v>
      </c>
      <c r="C8" s="47">
        <v>0.0</v>
      </c>
      <c r="D8" s="47">
        <v>0.0</v>
      </c>
      <c r="E8" s="32">
        <v>0.0</v>
      </c>
      <c r="F8" s="50">
        <v>0.0</v>
      </c>
      <c r="G8" s="34"/>
      <c r="H8" s="34"/>
      <c r="J8" s="51" t="s">
        <v>40</v>
      </c>
      <c r="K8" s="53">
        <f>+K6*(1+K7)</f>
        <v>52100322</v>
      </c>
      <c r="L8" s="12"/>
      <c r="M8" s="39" t="s">
        <v>34</v>
      </c>
      <c r="N8" s="43">
        <f>+D23</f>
        <v>1316613</v>
      </c>
      <c r="R8" s="41" t="s">
        <v>42</v>
      </c>
      <c r="S8" s="41" t="s">
        <v>43</v>
      </c>
      <c r="T8" s="42">
        <v>2000000.0</v>
      </c>
      <c r="U8" s="46">
        <v>5600.0</v>
      </c>
      <c r="V8" s="41" t="s">
        <v>30</v>
      </c>
    </row>
    <row r="9" ht="15.0" customHeight="1">
      <c r="B9" s="45" t="s">
        <v>44</v>
      </c>
      <c r="C9" s="47">
        <v>0.0</v>
      </c>
      <c r="D9" s="47">
        <v>0.0</v>
      </c>
      <c r="E9" s="32">
        <v>0.0</v>
      </c>
      <c r="F9" s="50">
        <v>0.0</v>
      </c>
      <c r="G9" s="34"/>
      <c r="H9" s="34"/>
      <c r="J9" s="35" t="s">
        <v>32</v>
      </c>
      <c r="K9" s="54">
        <f>+K8-K6</f>
        <v>17366774</v>
      </c>
      <c r="L9" s="12"/>
      <c r="M9" s="39" t="s">
        <v>41</v>
      </c>
      <c r="N9" s="43">
        <f>+F23</f>
        <v>316613</v>
      </c>
      <c r="R9" s="41" t="s">
        <v>46</v>
      </c>
      <c r="S9" s="41" t="s">
        <v>47</v>
      </c>
      <c r="T9" s="42">
        <v>1500000.0</v>
      </c>
      <c r="U9" s="46">
        <v>5000.0</v>
      </c>
      <c r="V9" s="41" t="s">
        <v>30</v>
      </c>
    </row>
    <row r="10" ht="15.0" customHeight="1">
      <c r="B10" s="55" t="s">
        <v>48</v>
      </c>
      <c r="C10" s="47">
        <v>0.0</v>
      </c>
      <c r="D10" s="47">
        <v>0.0</v>
      </c>
      <c r="E10" s="32">
        <v>0.0</v>
      </c>
      <c r="F10" s="50">
        <v>0.0</v>
      </c>
      <c r="G10" s="34"/>
      <c r="H10" s="34"/>
      <c r="J10" s="35"/>
      <c r="K10" s="54"/>
      <c r="L10" s="12"/>
      <c r="M10" s="39"/>
      <c r="N10" s="43"/>
      <c r="R10" s="41" t="s">
        <v>50</v>
      </c>
      <c r="S10" s="41" t="s">
        <v>47</v>
      </c>
      <c r="T10" s="56">
        <v>1500000.0</v>
      </c>
      <c r="U10" s="46">
        <v>5000.0</v>
      </c>
      <c r="V10" s="41" t="s">
        <v>30</v>
      </c>
    </row>
    <row r="11" ht="15.0" customHeight="1">
      <c r="B11" s="57" t="s">
        <v>51</v>
      </c>
      <c r="C11" s="58">
        <v>0.0</v>
      </c>
      <c r="D11" s="59">
        <v>0.0</v>
      </c>
      <c r="E11" s="32">
        <v>0.0</v>
      </c>
      <c r="F11" s="62">
        <v>0.0</v>
      </c>
      <c r="G11" s="34"/>
      <c r="H11" s="34"/>
      <c r="J11" s="35"/>
      <c r="K11" s="54"/>
      <c r="L11" s="12"/>
      <c r="M11" s="39"/>
      <c r="N11" s="43"/>
      <c r="R11" s="63"/>
      <c r="S11" s="63"/>
      <c r="T11" s="46">
        <v>0.0</v>
      </c>
      <c r="U11" s="63"/>
      <c r="V11" s="63"/>
    </row>
    <row r="12" ht="15.0" customHeight="1">
      <c r="B12" s="57" t="s">
        <v>52</v>
      </c>
      <c r="C12" s="58">
        <f>SUM(C7:C10)</f>
        <v>10000000</v>
      </c>
      <c r="D12" s="58">
        <f t="shared" ref="D12:F12" si="1">SUM(D7:D11)</f>
        <v>10000000</v>
      </c>
      <c r="E12" s="32">
        <f t="shared" si="1"/>
        <v>10000000</v>
      </c>
      <c r="F12" s="62">
        <f t="shared" si="1"/>
        <v>9000000</v>
      </c>
      <c r="H12" s="64" t="s">
        <v>2</v>
      </c>
      <c r="J12" s="35"/>
      <c r="K12" s="54"/>
      <c r="L12" s="12"/>
      <c r="M12" s="39"/>
      <c r="N12" s="43"/>
      <c r="R12" s="63"/>
      <c r="S12" s="41" t="s">
        <v>53</v>
      </c>
      <c r="T12" s="65">
        <f>SUM(T7:T11)</f>
        <v>7500000</v>
      </c>
      <c r="U12" s="66"/>
      <c r="V12" s="63"/>
    </row>
    <row r="13" ht="15.0" customHeight="1">
      <c r="B13" s="89" t="s">
        <v>54</v>
      </c>
      <c r="C13" s="69">
        <f>+C12</f>
        <v>10000000</v>
      </c>
      <c r="D13" s="69">
        <f>D12</f>
        <v>10000000</v>
      </c>
      <c r="E13" s="70">
        <f>+E12</f>
        <v>10000000</v>
      </c>
      <c r="F13" s="71">
        <f>F12</f>
        <v>9000000</v>
      </c>
      <c r="H13" s="34">
        <f>SUM(C13,D13,F13)</f>
        <v>29000000</v>
      </c>
      <c r="J13" s="72" t="s">
        <v>55</v>
      </c>
      <c r="K13" s="73">
        <v>0.0</v>
      </c>
      <c r="L13" s="12"/>
      <c r="M13" s="39"/>
      <c r="N13" s="39"/>
      <c r="R13" s="63"/>
      <c r="S13" s="41" t="s">
        <v>56</v>
      </c>
      <c r="T13" s="65">
        <f>8*U7</f>
        <v>48800</v>
      </c>
      <c r="U13" s="63"/>
      <c r="V13" s="63"/>
    </row>
    <row r="14" ht="15.0" customHeight="1">
      <c r="C14" s="12"/>
      <c r="D14" s="12"/>
      <c r="E14" s="12"/>
      <c r="F14" s="12"/>
      <c r="J14" s="75" t="s">
        <v>57</v>
      </c>
      <c r="K14" s="54">
        <v>12.0</v>
      </c>
      <c r="L14" s="12"/>
      <c r="M14" s="39" t="s">
        <v>58</v>
      </c>
      <c r="N14" s="76">
        <v>18.0</v>
      </c>
      <c r="O14" s="77">
        <f>+N14/100</f>
        <v>0.18</v>
      </c>
      <c r="R14" s="78"/>
      <c r="S14" s="41" t="s">
        <v>59</v>
      </c>
      <c r="T14" s="46">
        <f>T12*12</f>
        <v>90000000</v>
      </c>
      <c r="U14" s="63"/>
      <c r="V14" s="63"/>
    </row>
    <row r="15" ht="15.0" customHeight="1">
      <c r="B15" s="80" t="s">
        <v>60</v>
      </c>
      <c r="C15" s="82"/>
      <c r="D15" s="82"/>
      <c r="E15" s="82"/>
      <c r="F15" s="83"/>
      <c r="J15" s="75" t="s">
        <v>61</v>
      </c>
      <c r="K15" s="37">
        <f>N14/K14</f>
        <v>1.5</v>
      </c>
      <c r="L15" s="84"/>
      <c r="M15" s="39" t="s">
        <v>62</v>
      </c>
      <c r="N15" s="86">
        <f t="array" ref="N15">NPV(O14,C23,D23,F23)-K13</f>
        <v>2254045.132</v>
      </c>
      <c r="R15" s="63"/>
      <c r="S15" s="63"/>
      <c r="T15" s="63"/>
      <c r="U15" s="63"/>
      <c r="V15" s="63"/>
    </row>
    <row r="16" ht="15.0" customHeight="1">
      <c r="B16" s="88" t="s">
        <v>64</v>
      </c>
      <c r="C16" s="47">
        <v>0.0</v>
      </c>
      <c r="D16" s="47">
        <v>0.0</v>
      </c>
      <c r="E16" s="49">
        <v>0.0</v>
      </c>
      <c r="F16" s="50">
        <v>0.0</v>
      </c>
      <c r="J16" s="75" t="s">
        <v>65</v>
      </c>
      <c r="K16" s="54">
        <f>(K13/K14)*K15</f>
        <v>0</v>
      </c>
      <c r="L16" s="12"/>
      <c r="M16" s="39" t="s">
        <v>66</v>
      </c>
      <c r="N16" s="90">
        <f>IFERROR(IRR(N6:N9),0)*0</f>
        <v>0</v>
      </c>
      <c r="R16" s="11" t="s">
        <v>67</v>
      </c>
      <c r="S16" s="13"/>
      <c r="T16" s="13"/>
      <c r="U16" s="13"/>
      <c r="V16" s="14"/>
    </row>
    <row r="17" ht="15.0" customHeight="1">
      <c r="B17" s="88" t="s">
        <v>68</v>
      </c>
      <c r="C17" s="91">
        <f>T12</f>
        <v>7500000</v>
      </c>
      <c r="D17" s="91">
        <f>T12</f>
        <v>7500000</v>
      </c>
      <c r="E17" s="91">
        <f>T12</f>
        <v>7500000</v>
      </c>
      <c r="F17" s="92">
        <f>T12</f>
        <v>7500000</v>
      </c>
      <c r="J17" s="93" t="s">
        <v>69</v>
      </c>
      <c r="K17" s="95">
        <f>+K16*K14</f>
        <v>0</v>
      </c>
      <c r="L17" s="12"/>
      <c r="R17" s="26" t="s">
        <v>26</v>
      </c>
      <c r="S17" s="27" t="s">
        <v>27</v>
      </c>
      <c r="T17" s="27" t="s">
        <v>28</v>
      </c>
      <c r="U17" s="28" t="s">
        <v>29</v>
      </c>
      <c r="V17" s="27" t="s">
        <v>30</v>
      </c>
    </row>
    <row r="18" ht="15.0" customHeight="1">
      <c r="B18" s="88" t="s">
        <v>70</v>
      </c>
      <c r="C18" s="47">
        <f>H46</f>
        <v>94287</v>
      </c>
      <c r="D18" s="47">
        <f>H46</f>
        <v>94287</v>
      </c>
      <c r="E18" s="47">
        <f>H46</f>
        <v>94287</v>
      </c>
      <c r="F18" s="50">
        <f>H46</f>
        <v>94287</v>
      </c>
      <c r="R18" s="41"/>
      <c r="S18" s="41" t="s">
        <v>71</v>
      </c>
      <c r="T18" s="65">
        <v>0.0</v>
      </c>
      <c r="U18" s="46">
        <v>0.0</v>
      </c>
      <c r="V18" s="41" t="s">
        <v>30</v>
      </c>
    </row>
    <row r="19" ht="15.0" customHeight="1">
      <c r="B19" s="88" t="s">
        <v>72</v>
      </c>
      <c r="C19" s="47">
        <v>0.0</v>
      </c>
      <c r="D19" s="47">
        <v>0.0</v>
      </c>
      <c r="E19" s="49">
        <v>0.0</v>
      </c>
      <c r="F19" s="50">
        <v>0.0</v>
      </c>
      <c r="M19" s="7" t="s">
        <v>73</v>
      </c>
      <c r="N19" s="8"/>
      <c r="R19" s="63"/>
      <c r="S19" s="63"/>
      <c r="T19" s="63"/>
      <c r="U19" s="63"/>
      <c r="V19" s="63"/>
    </row>
    <row r="20" ht="15.0" customHeight="1">
      <c r="B20" s="88" t="s">
        <v>74</v>
      </c>
      <c r="C20" s="47">
        <f>H35</f>
        <v>1089100</v>
      </c>
      <c r="D20" s="47">
        <f>H35</f>
        <v>1089100</v>
      </c>
      <c r="E20" s="48">
        <f>H35</f>
        <v>1089100</v>
      </c>
      <c r="F20" s="50">
        <f>H35</f>
        <v>1089100</v>
      </c>
      <c r="H20" s="64" t="s">
        <v>75</v>
      </c>
      <c r="L20" s="12"/>
      <c r="M20" s="96" t="s">
        <v>76</v>
      </c>
      <c r="N20" s="97" t="s">
        <v>77</v>
      </c>
      <c r="R20" s="63"/>
      <c r="S20" s="41" t="s">
        <v>78</v>
      </c>
      <c r="T20" s="46">
        <f>T18*12</f>
        <v>0</v>
      </c>
      <c r="U20" s="63"/>
      <c r="V20" s="63"/>
    </row>
    <row r="21" ht="15.0" customHeight="1">
      <c r="B21" s="98" t="s">
        <v>79</v>
      </c>
      <c r="C21" s="99">
        <f t="shared" ref="C21:F21" si="2">SUM(C16:C20)</f>
        <v>8683387</v>
      </c>
      <c r="D21" s="99">
        <f t="shared" si="2"/>
        <v>8683387</v>
      </c>
      <c r="E21" s="102">
        <f t="shared" si="2"/>
        <v>8683387</v>
      </c>
      <c r="F21" s="101">
        <f t="shared" si="2"/>
        <v>8683387</v>
      </c>
      <c r="H21" s="34">
        <f>SUM(C21:F21)</f>
        <v>34733548</v>
      </c>
      <c r="L21" s="77"/>
      <c r="M21" s="104"/>
      <c r="N21" s="105">
        <v>0.0</v>
      </c>
    </row>
    <row r="22" ht="15.0" customHeight="1">
      <c r="C22" s="12"/>
      <c r="D22" s="12"/>
      <c r="E22" s="12"/>
      <c r="F22" s="12"/>
      <c r="H22" s="64" t="s">
        <v>80</v>
      </c>
      <c r="M22" s="106"/>
      <c r="N22" s="108"/>
    </row>
    <row r="23" ht="15.0" customHeight="1">
      <c r="B23" s="109" t="s">
        <v>81</v>
      </c>
      <c r="C23" s="110">
        <f t="shared" ref="C23:F23" si="3">+C13-C21</f>
        <v>1316613</v>
      </c>
      <c r="D23" s="110">
        <f t="shared" si="3"/>
        <v>1316613</v>
      </c>
      <c r="E23" s="111">
        <f t="shared" si="3"/>
        <v>1316613</v>
      </c>
      <c r="F23" s="113">
        <f t="shared" si="3"/>
        <v>316613</v>
      </c>
      <c r="H23" s="34">
        <f>+H13-H21</f>
        <v>-5733548</v>
      </c>
      <c r="M23" s="114"/>
      <c r="N23" s="115"/>
    </row>
    <row r="24" ht="15.75" customHeight="1">
      <c r="M24" s="116"/>
      <c r="N24" s="116"/>
    </row>
    <row r="25" ht="15.75" customHeight="1">
      <c r="B25" s="117" t="s">
        <v>74</v>
      </c>
      <c r="C25" s="118" t="s">
        <v>82</v>
      </c>
      <c r="D25" s="13"/>
      <c r="E25" s="13"/>
      <c r="F25" s="13"/>
      <c r="G25" s="14"/>
      <c r="H25" s="119">
        <v>11900.0</v>
      </c>
      <c r="M25" s="116"/>
      <c r="N25" s="116"/>
    </row>
    <row r="26" ht="15.75" customHeight="1">
      <c r="B26" s="121"/>
      <c r="C26" s="118" t="s">
        <v>84</v>
      </c>
      <c r="D26" s="13"/>
      <c r="E26" s="13"/>
      <c r="F26" s="13"/>
      <c r="G26" s="14"/>
      <c r="H26" s="119">
        <v>77200.0</v>
      </c>
      <c r="M26" s="116"/>
      <c r="N26" s="116"/>
    </row>
    <row r="27" ht="15.75" customHeight="1">
      <c r="B27" s="121"/>
      <c r="C27" s="118" t="s">
        <v>85</v>
      </c>
      <c r="D27" s="13"/>
      <c r="E27" s="13"/>
      <c r="F27" s="13"/>
      <c r="G27" s="14"/>
      <c r="H27" s="119">
        <v>250000.0</v>
      </c>
      <c r="M27" s="116"/>
      <c r="N27" s="116"/>
    </row>
    <row r="28" ht="15.75" customHeight="1">
      <c r="B28" s="121"/>
      <c r="C28" s="122" t="s">
        <v>87</v>
      </c>
      <c r="D28" s="13"/>
      <c r="E28" s="13"/>
      <c r="F28" s="13"/>
      <c r="G28" s="14"/>
      <c r="H28" s="120">
        <v>350000.0</v>
      </c>
      <c r="M28" s="116"/>
      <c r="N28" s="116"/>
    </row>
    <row r="29" ht="15.75" customHeight="1">
      <c r="B29" s="121"/>
      <c r="C29" s="122" t="s">
        <v>88</v>
      </c>
      <c r="D29" s="13"/>
      <c r="E29" s="13"/>
      <c r="F29" s="13"/>
      <c r="G29" s="14"/>
      <c r="H29" s="123">
        <v>0.0</v>
      </c>
      <c r="M29" s="116"/>
      <c r="N29" s="116"/>
    </row>
    <row r="30" ht="15.75" customHeight="1">
      <c r="B30" s="121"/>
      <c r="C30" s="122" t="s">
        <v>89</v>
      </c>
      <c r="D30" s="13"/>
      <c r="E30" s="13"/>
      <c r="F30" s="13"/>
      <c r="G30" s="14"/>
      <c r="H30" s="129">
        <v>250000.0</v>
      </c>
      <c r="M30" s="116"/>
      <c r="N30" s="116"/>
    </row>
    <row r="31" ht="15.75" customHeight="1">
      <c r="B31" s="121"/>
      <c r="C31" s="122" t="s">
        <v>91</v>
      </c>
      <c r="D31" s="13"/>
      <c r="E31" s="13"/>
      <c r="F31" s="13"/>
      <c r="G31" s="14"/>
      <c r="H31" s="124">
        <v>150000.0</v>
      </c>
      <c r="M31" s="116"/>
      <c r="N31" s="116"/>
    </row>
    <row r="32" ht="15.75" customHeight="1">
      <c r="B32" s="121"/>
      <c r="C32" s="122"/>
      <c r="D32" s="13"/>
      <c r="E32" s="13"/>
      <c r="F32" s="13"/>
      <c r="G32" s="14"/>
      <c r="H32" s="126"/>
      <c r="M32" s="116"/>
      <c r="N32" s="116"/>
    </row>
    <row r="33" ht="15.75" customHeight="1">
      <c r="B33" s="121"/>
      <c r="C33" s="122"/>
      <c r="D33" s="13"/>
      <c r="E33" s="13"/>
      <c r="F33" s="13"/>
      <c r="G33" s="14"/>
      <c r="H33" s="126"/>
      <c r="M33" s="116"/>
      <c r="N33" s="116"/>
    </row>
    <row r="34" ht="15.75" customHeight="1">
      <c r="B34" s="130"/>
      <c r="C34" s="131"/>
      <c r="D34" s="13"/>
      <c r="E34" s="13"/>
      <c r="F34" s="13"/>
      <c r="G34" s="14"/>
      <c r="H34" s="126"/>
      <c r="M34" s="116"/>
      <c r="N34" s="116"/>
    </row>
    <row r="35" ht="15.75" customHeight="1">
      <c r="C35" s="132" t="s">
        <v>93</v>
      </c>
      <c r="D35" s="133"/>
      <c r="E35" s="133"/>
      <c r="F35" s="133"/>
      <c r="G35" s="134"/>
      <c r="H35" s="135">
        <f>SUM(H25:H34)</f>
        <v>1089100</v>
      </c>
      <c r="M35" s="116"/>
      <c r="N35" s="116"/>
    </row>
    <row r="36" ht="15.75" customHeight="1">
      <c r="C36" s="136"/>
      <c r="D36" s="136"/>
      <c r="E36" s="136"/>
      <c r="F36" s="136"/>
      <c r="G36" s="136"/>
      <c r="H36" s="137"/>
      <c r="M36" s="116"/>
      <c r="N36" s="116"/>
    </row>
    <row r="37" ht="15.75" customHeight="1">
      <c r="C37" s="136"/>
      <c r="D37" s="136"/>
      <c r="E37" s="136"/>
      <c r="F37" s="136"/>
      <c r="G37" s="136"/>
      <c r="H37" s="137"/>
      <c r="M37" s="116"/>
      <c r="N37" s="116"/>
    </row>
    <row r="38" ht="15.75" customHeight="1">
      <c r="C38" s="136"/>
      <c r="D38" s="136"/>
      <c r="E38" s="136"/>
      <c r="F38" s="136"/>
      <c r="G38" s="136"/>
      <c r="H38" s="137"/>
      <c r="M38" s="116"/>
      <c r="N38" s="116"/>
    </row>
    <row r="39" ht="15.75" customHeight="1">
      <c r="B39" s="138" t="s">
        <v>70</v>
      </c>
      <c r="C39" s="139" t="s">
        <v>94</v>
      </c>
      <c r="D39" s="13"/>
      <c r="E39" s="13"/>
      <c r="F39" s="13"/>
      <c r="G39" s="14"/>
      <c r="H39" s="140">
        <v>47006.0</v>
      </c>
      <c r="M39" s="116"/>
      <c r="N39" s="116"/>
    </row>
    <row r="40" ht="15.75" customHeight="1">
      <c r="B40" s="121"/>
      <c r="C40" s="142" t="s">
        <v>95</v>
      </c>
      <c r="D40" s="13"/>
      <c r="E40" s="13"/>
      <c r="F40" s="13"/>
      <c r="G40" s="14"/>
      <c r="H40" s="140">
        <v>17452.0</v>
      </c>
      <c r="M40" s="116"/>
      <c r="N40" s="116"/>
    </row>
    <row r="41" ht="15.75" customHeight="1">
      <c r="B41" s="121"/>
      <c r="C41" s="142" t="s">
        <v>96</v>
      </c>
      <c r="D41" s="13"/>
      <c r="E41" s="13"/>
      <c r="F41" s="13"/>
      <c r="G41" s="14"/>
      <c r="H41" s="144">
        <v>29829.0</v>
      </c>
    </row>
    <row r="42" ht="15.75" customHeight="1">
      <c r="B42" s="121"/>
      <c r="C42" s="122"/>
      <c r="D42" s="13"/>
      <c r="E42" s="13"/>
      <c r="F42" s="13"/>
      <c r="G42" s="14"/>
      <c r="H42" s="146"/>
    </row>
    <row r="43" ht="15.75" customHeight="1">
      <c r="B43" s="121"/>
      <c r="C43" s="122"/>
      <c r="D43" s="13"/>
      <c r="E43" s="13"/>
      <c r="F43" s="13"/>
      <c r="G43" s="14"/>
      <c r="H43" s="148"/>
    </row>
    <row r="44" ht="15.75" customHeight="1">
      <c r="B44" s="121"/>
      <c r="C44" s="122"/>
      <c r="D44" s="13"/>
      <c r="E44" s="13"/>
      <c r="F44" s="13"/>
      <c r="G44" s="14"/>
      <c r="H44" s="146"/>
    </row>
    <row r="45" ht="15.75" customHeight="1">
      <c r="B45" s="130"/>
      <c r="C45" s="122"/>
      <c r="D45" s="13"/>
      <c r="E45" s="13"/>
      <c r="F45" s="13"/>
      <c r="G45" s="14"/>
      <c r="H45" s="146"/>
    </row>
    <row r="46" ht="15.75" customHeight="1">
      <c r="C46" s="150" t="s">
        <v>97</v>
      </c>
      <c r="D46" s="13"/>
      <c r="E46" s="13"/>
      <c r="F46" s="13"/>
      <c r="G46" s="14"/>
      <c r="H46" s="151">
        <f>SUM(H39:H45)</f>
        <v>94287</v>
      </c>
    </row>
    <row r="47" ht="15.75" customHeight="1"/>
    <row r="48" ht="15.75" customHeight="1">
      <c r="B48" s="152" t="s">
        <v>98</v>
      </c>
      <c r="C48" s="153" t="s">
        <v>99</v>
      </c>
    </row>
    <row r="49" ht="15.75" customHeight="1">
      <c r="B49" s="152" t="s">
        <v>100</v>
      </c>
      <c r="C49" s="153" t="s">
        <v>101</v>
      </c>
    </row>
    <row r="50" ht="15.75" customHeight="1">
      <c r="C50" s="15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K1"/>
    <mergeCell ref="B2:K2"/>
    <mergeCell ref="B4:H4"/>
    <mergeCell ref="C5:F5"/>
    <mergeCell ref="J5:K5"/>
    <mergeCell ref="M5:N5"/>
    <mergeCell ref="R5:V5"/>
    <mergeCell ref="C28:G28"/>
    <mergeCell ref="C29:G29"/>
    <mergeCell ref="C30:G30"/>
    <mergeCell ref="C31:G31"/>
    <mergeCell ref="B15:F15"/>
    <mergeCell ref="R16:V16"/>
    <mergeCell ref="M19:N19"/>
    <mergeCell ref="B25:B34"/>
    <mergeCell ref="C25:G25"/>
    <mergeCell ref="C26:G26"/>
    <mergeCell ref="C27:G27"/>
    <mergeCell ref="C34:G34"/>
    <mergeCell ref="C42:G42"/>
    <mergeCell ref="C43:G43"/>
    <mergeCell ref="C44:G44"/>
    <mergeCell ref="C45:G45"/>
    <mergeCell ref="C46:G46"/>
    <mergeCell ref="C48:G48"/>
    <mergeCell ref="C49:G49"/>
    <mergeCell ref="C32:G32"/>
    <mergeCell ref="C33:G33"/>
    <mergeCell ref="C35:G35"/>
    <mergeCell ref="B39:B45"/>
    <mergeCell ref="C39:G39"/>
    <mergeCell ref="C40:G40"/>
    <mergeCell ref="C41:G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0.71"/>
    <col customWidth="1" min="23" max="23" width="12.0"/>
  </cols>
  <sheetData>
    <row r="3" ht="15.0" customHeight="1">
      <c r="K3" s="5" t="s">
        <v>4</v>
      </c>
      <c r="L3" s="5" t="s">
        <v>5</v>
      </c>
      <c r="M3" s="5" t="s">
        <v>6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</row>
    <row r="4" ht="15.0" customHeight="1">
      <c r="E4" s="10" t="s">
        <v>18</v>
      </c>
      <c r="F4" s="5" t="s">
        <v>20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ht="15.0" customHeight="1">
      <c r="I5" s="5" t="s">
        <v>21</v>
      </c>
      <c r="J5" s="12">
        <v>0.0</v>
      </c>
      <c r="K5" s="12">
        <f t="shared" ref="K5:V5" si="1">+$J$5*K6</f>
        <v>0</v>
      </c>
      <c r="L5" s="12">
        <f t="shared" si="1"/>
        <v>0</v>
      </c>
      <c r="M5" s="12">
        <f t="shared" si="1"/>
        <v>0</v>
      </c>
      <c r="N5" s="12">
        <f t="shared" si="1"/>
        <v>0</v>
      </c>
      <c r="O5" s="12">
        <f t="shared" si="1"/>
        <v>0</v>
      </c>
      <c r="P5" s="12">
        <f t="shared" si="1"/>
        <v>0</v>
      </c>
      <c r="Q5" s="12">
        <f t="shared" si="1"/>
        <v>0</v>
      </c>
      <c r="R5" s="12">
        <f t="shared" si="1"/>
        <v>0</v>
      </c>
      <c r="S5" s="12">
        <f t="shared" si="1"/>
        <v>0</v>
      </c>
      <c r="T5" s="12">
        <f t="shared" si="1"/>
        <v>0</v>
      </c>
      <c r="U5" s="12">
        <f t="shared" si="1"/>
        <v>0</v>
      </c>
      <c r="V5" s="12">
        <f t="shared" si="1"/>
        <v>0</v>
      </c>
      <c r="W5" s="12">
        <f>SUM(K5:V5)</f>
        <v>0</v>
      </c>
    </row>
    <row r="6" ht="15.0" customHeight="1">
      <c r="F6" s="5" t="s">
        <v>24</v>
      </c>
      <c r="G6" s="12">
        <v>0.0</v>
      </c>
      <c r="I6" s="5" t="s">
        <v>25</v>
      </c>
      <c r="J6" s="12">
        <f>IFERROR(+G6/J5,0)</f>
        <v>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/>
      <c r="T6" s="12"/>
      <c r="U6" s="12"/>
      <c r="V6" s="12"/>
      <c r="W6" s="12"/>
    </row>
    <row r="7" ht="15.0" customHeight="1"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ht="15.0" customHeight="1"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ht="15.0" customHeight="1">
      <c r="E9" s="5" t="s">
        <v>33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f>SUM(K9:V9)</f>
        <v>0</v>
      </c>
    </row>
    <row r="12" ht="15.0" customHeight="1">
      <c r="E12" s="5" t="s">
        <v>36</v>
      </c>
      <c r="J12" s="5">
        <v>450000.0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2022-10-18T13:55:40Z</dcterms:created>
  <dc:creator>CETECOM</dc:creator>
</cp:coreProperties>
</file>